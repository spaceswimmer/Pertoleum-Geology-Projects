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ml.chartshapes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99C9086-67A9-5B14-2C2D-5A8001700F7D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rtemiy\Documents\University\1 course\2 sem\PetroPhysics\Pertoleum-Geology-Projects\Artemiy_Fishchuk_examples\03 Capilarry curve modeling\"/>
    </mc:Choice>
  </mc:AlternateContent>
  <xr:revisionPtr revIDLastSave="0" documentId="13_ncr:1_{96D29462-B17C-4C43-B011-7CB75CE15E40}" xr6:coauthVersionLast="47" xr6:coauthVersionMax="47" xr10:uidLastSave="{00000000-0000-0000-0000-000000000000}"/>
  <bookViews>
    <workbookView xWindow="-110" yWindow="-110" windowWidth="29020" windowHeight="17500" firstSheet="1" activeTab="2" xr2:uid="{00000000-000D-0000-FFFF-FFFF00000000}"/>
  </bookViews>
  <sheets>
    <sheet name="Лист1" sheetId="1" state="hidden" r:id="rId1"/>
    <sheet name="ККД" sheetId="8" r:id="rId2"/>
    <sheet name="Для аппроксимации" sheetId="9" r:id="rId3"/>
    <sheet name="ОФП" sheetId="11" r:id="rId4"/>
    <sheet name="РИГИС" sheetId="13" r:id="rId5"/>
    <sheet name="Сведения о залежах и флюидах" sheetId="12" r:id="rId6"/>
  </sheets>
  <definedNames>
    <definedName name="_xlnm._FilterDatabase" localSheetId="3" hidden="1">ОФП!$A$1:$K$217</definedName>
    <definedName name="_xlnm._FilterDatabase" localSheetId="4" hidden="1">РИГИС!$A$4:$V$130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" i="9" l="1"/>
  <c r="S41" i="13"/>
  <c r="P41" i="13"/>
  <c r="O40" i="13"/>
  <c r="N39" i="13"/>
  <c r="F2" i="12"/>
  <c r="AD39" i="11"/>
  <c r="H100" i="9"/>
  <c r="H99" i="9"/>
  <c r="F100" i="9"/>
  <c r="AT64" i="9"/>
  <c r="C103" i="9"/>
  <c r="G107" i="9"/>
  <c r="F13" i="12"/>
  <c r="S5" i="9"/>
  <c r="AE5" i="9"/>
  <c r="Z5" i="9"/>
  <c r="AD5" i="9"/>
  <c r="T5" i="9"/>
  <c r="Q118" i="13"/>
  <c r="P118" i="13"/>
  <c r="Q117" i="13"/>
  <c r="P117" i="13"/>
  <c r="Q116" i="13"/>
  <c r="P116" i="13"/>
  <c r="Q111" i="13"/>
  <c r="P111" i="13"/>
  <c r="Q110" i="13"/>
  <c r="P110" i="13"/>
  <c r="Q109" i="13"/>
  <c r="P109" i="13"/>
  <c r="Q108" i="13"/>
  <c r="P108" i="13"/>
  <c r="Q107" i="13"/>
  <c r="P107" i="13"/>
  <c r="Q106" i="13"/>
  <c r="P106" i="13"/>
  <c r="Q105" i="13"/>
  <c r="P105" i="13"/>
  <c r="Q104" i="13"/>
  <c r="P104" i="13"/>
  <c r="Q103" i="13"/>
  <c r="P103" i="13"/>
  <c r="Q102" i="13"/>
  <c r="P102" i="13"/>
  <c r="Q101" i="13"/>
  <c r="P101" i="13"/>
  <c r="Q100" i="13"/>
  <c r="P100" i="13"/>
  <c r="Q99" i="13"/>
  <c r="P99" i="13"/>
  <c r="Q98" i="13"/>
  <c r="P98" i="13"/>
  <c r="Q97" i="13"/>
  <c r="P97" i="13"/>
  <c r="Q96" i="13"/>
  <c r="P96" i="13"/>
  <c r="Q95" i="13"/>
  <c r="P95" i="13"/>
  <c r="Q94" i="13"/>
  <c r="P94" i="13"/>
  <c r="Q93" i="13"/>
  <c r="P93" i="13"/>
  <c r="Q92" i="13"/>
  <c r="P92" i="13"/>
  <c r="Q91" i="13"/>
  <c r="P91" i="13"/>
  <c r="Q90" i="13"/>
  <c r="P90" i="13"/>
  <c r="Q89" i="13"/>
  <c r="P89" i="13"/>
  <c r="Q88" i="13"/>
  <c r="P88" i="13"/>
  <c r="Q87" i="13"/>
  <c r="P87" i="13"/>
  <c r="Q86" i="13"/>
  <c r="P86" i="13"/>
  <c r="Q85" i="13"/>
  <c r="P85" i="13"/>
  <c r="Q84" i="13"/>
  <c r="P84" i="13"/>
  <c r="Q83" i="13"/>
  <c r="P83" i="13"/>
  <c r="Q82" i="13"/>
  <c r="P82" i="13"/>
  <c r="S82" i="13" s="1"/>
  <c r="T82" i="13" s="1"/>
  <c r="Q81" i="13"/>
  <c r="P81" i="13"/>
  <c r="Q80" i="13"/>
  <c r="P80" i="13"/>
  <c r="Q79" i="13"/>
  <c r="P79" i="13"/>
  <c r="Q78" i="13"/>
  <c r="P78" i="13"/>
  <c r="Q77" i="13"/>
  <c r="P77" i="13"/>
  <c r="Q76" i="13"/>
  <c r="P76" i="13"/>
  <c r="Q75" i="13"/>
  <c r="P75" i="13"/>
  <c r="Q74" i="13"/>
  <c r="P74" i="13"/>
  <c r="Q73" i="13"/>
  <c r="P73" i="13"/>
  <c r="Q70" i="13"/>
  <c r="P70" i="13"/>
  <c r="Q69" i="13"/>
  <c r="P69" i="13"/>
  <c r="Q65" i="13"/>
  <c r="P65" i="13"/>
  <c r="Q64" i="13"/>
  <c r="P64" i="13"/>
  <c r="Q63" i="13"/>
  <c r="P63" i="13"/>
  <c r="Q62" i="13"/>
  <c r="P62" i="13"/>
  <c r="Q57" i="13"/>
  <c r="P57" i="13"/>
  <c r="Q56" i="13"/>
  <c r="P56" i="13"/>
  <c r="Q55" i="13"/>
  <c r="P55" i="13"/>
  <c r="Q54" i="13"/>
  <c r="P54" i="13"/>
  <c r="Q47" i="13"/>
  <c r="P47" i="13"/>
  <c r="Q46" i="13"/>
  <c r="P46" i="13"/>
  <c r="Q45" i="13"/>
  <c r="P45" i="13"/>
  <c r="Q44" i="13"/>
  <c r="P44" i="13"/>
  <c r="Q43" i="13"/>
  <c r="P43" i="13"/>
  <c r="Q42" i="13"/>
  <c r="P42" i="13"/>
  <c r="Q41" i="13"/>
  <c r="Q40" i="13"/>
  <c r="P40" i="13"/>
  <c r="Q39" i="13"/>
  <c r="P39" i="13"/>
  <c r="Q38" i="13"/>
  <c r="P38" i="13"/>
  <c r="Q37" i="13"/>
  <c r="P37" i="13"/>
  <c r="Q36" i="13"/>
  <c r="P36" i="13"/>
  <c r="Q35" i="13"/>
  <c r="P35" i="13"/>
  <c r="Q34" i="13"/>
  <c r="P34" i="13"/>
  <c r="Q33" i="13"/>
  <c r="P33" i="13"/>
  <c r="Q32" i="13"/>
  <c r="P32" i="13"/>
  <c r="Q31" i="13"/>
  <c r="P31" i="13"/>
  <c r="Q30" i="13"/>
  <c r="P30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6" i="13"/>
  <c r="M37" i="13"/>
  <c r="M40" i="13"/>
  <c r="M42" i="13"/>
  <c r="M47" i="13"/>
  <c r="M54" i="13"/>
  <c r="M55" i="13"/>
  <c r="M58" i="13"/>
  <c r="M60" i="13"/>
  <c r="M61" i="13"/>
  <c r="M64" i="13"/>
  <c r="M65" i="13"/>
  <c r="M66" i="13"/>
  <c r="M67" i="13"/>
  <c r="M68" i="13"/>
  <c r="M78" i="13"/>
  <c r="N78" i="13" s="1"/>
  <c r="O78" i="13" s="1"/>
  <c r="M79" i="13"/>
  <c r="N79" i="13" s="1"/>
  <c r="O79" i="13" s="1"/>
  <c r="M96" i="13"/>
  <c r="N96" i="13" s="1"/>
  <c r="O96" i="13" s="1"/>
  <c r="M97" i="13"/>
  <c r="N97" i="13" s="1"/>
  <c r="O97" i="13" s="1"/>
  <c r="M119" i="13"/>
  <c r="M120" i="13"/>
  <c r="M121" i="13"/>
  <c r="M122" i="13"/>
  <c r="M123" i="13"/>
  <c r="M124" i="13"/>
  <c r="M125" i="13"/>
  <c r="M126" i="13"/>
  <c r="M127" i="13"/>
  <c r="M128" i="13"/>
  <c r="M129" i="13"/>
  <c r="M130" i="13"/>
  <c r="M5" i="13"/>
  <c r="G3" i="12"/>
  <c r="M34" i="13" s="1"/>
  <c r="G4" i="12"/>
  <c r="M45" i="13" s="1"/>
  <c r="G5" i="12"/>
  <c r="M56" i="13" s="1"/>
  <c r="G6" i="12"/>
  <c r="M62" i="13" s="1"/>
  <c r="G8" i="12"/>
  <c r="M73" i="13" s="1"/>
  <c r="G11" i="12"/>
  <c r="M101" i="13" s="1"/>
  <c r="N101" i="13" s="1"/>
  <c r="O101" i="13" s="1"/>
  <c r="F3" i="12"/>
  <c r="F4" i="12"/>
  <c r="F5" i="12"/>
  <c r="F6" i="12"/>
  <c r="F7" i="12"/>
  <c r="G7" i="12" s="1"/>
  <c r="F8" i="12"/>
  <c r="F9" i="12"/>
  <c r="G9" i="12" s="1"/>
  <c r="M82" i="13" s="1"/>
  <c r="N82" i="13" s="1"/>
  <c r="O82" i="13" s="1"/>
  <c r="F10" i="12"/>
  <c r="G10" i="12" s="1"/>
  <c r="F11" i="12"/>
  <c r="F12" i="12"/>
  <c r="G12" i="12" s="1"/>
  <c r="G13" i="12"/>
  <c r="G2" i="12"/>
  <c r="AB43" i="11"/>
  <c r="AB40" i="11"/>
  <c r="X44" i="11"/>
  <c r="X39" i="11"/>
  <c r="V40" i="11"/>
  <c r="V41" i="11"/>
  <c r="AB41" i="11" s="1"/>
  <c r="V42" i="11"/>
  <c r="AB42" i="11" s="1"/>
  <c r="V43" i="11"/>
  <c r="V44" i="11"/>
  <c r="AB44" i="11" s="1"/>
  <c r="AC44" i="11" s="1"/>
  <c r="AD44" i="11" s="1"/>
  <c r="V39" i="11"/>
  <c r="W40" i="11"/>
  <c r="X40" i="11" s="1"/>
  <c r="W41" i="11"/>
  <c r="X41" i="11" s="1"/>
  <c r="W42" i="11"/>
  <c r="X42" i="11" s="1"/>
  <c r="W43" i="11"/>
  <c r="X43" i="11" s="1"/>
  <c r="W44" i="11"/>
  <c r="W39" i="11"/>
  <c r="U40" i="11"/>
  <c r="U41" i="11"/>
  <c r="U42" i="11"/>
  <c r="U43" i="11"/>
  <c r="U44" i="11"/>
  <c r="U39" i="11"/>
  <c r="L10" i="11"/>
  <c r="M10" i="11"/>
  <c r="N10" i="11"/>
  <c r="L18" i="11"/>
  <c r="M18" i="11"/>
  <c r="N18" i="11"/>
  <c r="L26" i="11"/>
  <c r="M26" i="11"/>
  <c r="N26" i="11"/>
  <c r="L34" i="11"/>
  <c r="M34" i="11"/>
  <c r="N34" i="11"/>
  <c r="L42" i="11"/>
  <c r="M42" i="11"/>
  <c r="N42" i="11"/>
  <c r="L50" i="11"/>
  <c r="M50" i="11"/>
  <c r="N50" i="11"/>
  <c r="L58" i="11"/>
  <c r="M58" i="11"/>
  <c r="N58" i="11"/>
  <c r="L66" i="11"/>
  <c r="M66" i="11"/>
  <c r="N66" i="11"/>
  <c r="L74" i="11"/>
  <c r="M74" i="11"/>
  <c r="N74" i="11"/>
  <c r="L82" i="11"/>
  <c r="M82" i="11"/>
  <c r="N82" i="11"/>
  <c r="L90" i="11"/>
  <c r="M90" i="11"/>
  <c r="N90" i="11"/>
  <c r="L98" i="11"/>
  <c r="M98" i="11"/>
  <c r="N98" i="11"/>
  <c r="L106" i="11"/>
  <c r="M106" i="11"/>
  <c r="N106" i="11"/>
  <c r="L114" i="11"/>
  <c r="M114" i="11"/>
  <c r="N114" i="11"/>
  <c r="L122" i="11"/>
  <c r="M122" i="11"/>
  <c r="N122" i="11"/>
  <c r="L130" i="11"/>
  <c r="M130" i="11"/>
  <c r="N130" i="11"/>
  <c r="L138" i="11"/>
  <c r="M138" i="11"/>
  <c r="N138" i="11"/>
  <c r="L146" i="11"/>
  <c r="M146" i="11"/>
  <c r="N146" i="11"/>
  <c r="L154" i="11"/>
  <c r="M154" i="11"/>
  <c r="N154" i="11"/>
  <c r="L162" i="11"/>
  <c r="M162" i="11"/>
  <c r="N162" i="11"/>
  <c r="L170" i="11"/>
  <c r="M170" i="11"/>
  <c r="N170" i="11"/>
  <c r="L178" i="11"/>
  <c r="M178" i="11"/>
  <c r="N178" i="11"/>
  <c r="L186" i="11"/>
  <c r="M186" i="11"/>
  <c r="N186" i="11"/>
  <c r="L194" i="11"/>
  <c r="M194" i="11"/>
  <c r="N194" i="11"/>
  <c r="L202" i="11"/>
  <c r="M202" i="11"/>
  <c r="N202" i="11"/>
  <c r="L210" i="11"/>
  <c r="M210" i="11"/>
  <c r="N210" i="11"/>
  <c r="N2" i="11"/>
  <c r="L2" i="11"/>
  <c r="M2" i="11"/>
  <c r="F99" i="9"/>
  <c r="G99" i="9"/>
  <c r="G100" i="9" s="1"/>
  <c r="I99" i="9"/>
  <c r="J99" i="9"/>
  <c r="J100" i="9" s="1"/>
  <c r="K99" i="9"/>
  <c r="K100" i="9" s="1"/>
  <c r="L99" i="9"/>
  <c r="L100" i="9" s="1"/>
  <c r="M99" i="9"/>
  <c r="M100" i="9" s="1"/>
  <c r="N99" i="9"/>
  <c r="N100" i="9" s="1"/>
  <c r="I100" i="9"/>
  <c r="O99" i="9"/>
  <c r="O100" i="9" s="1"/>
  <c r="D103" i="9"/>
  <c r="D104" i="9"/>
  <c r="D105" i="9"/>
  <c r="D106" i="9"/>
  <c r="H106" i="9" s="1"/>
  <c r="D107" i="9"/>
  <c r="D102" i="9"/>
  <c r="C104" i="9"/>
  <c r="C105" i="9"/>
  <c r="F105" i="9" s="1"/>
  <c r="C106" i="9"/>
  <c r="C107" i="9"/>
  <c r="H107" i="9" s="1"/>
  <c r="C102" i="9"/>
  <c r="H102" i="9" s="1"/>
  <c r="AP20" i="9"/>
  <c r="BC20" i="9" s="1"/>
  <c r="AL22" i="9"/>
  <c r="AY22" i="9" s="1"/>
  <c r="AH28" i="9"/>
  <c r="AU28" i="9" s="1"/>
  <c r="AK29" i="9"/>
  <c r="AX29" i="9" s="1"/>
  <c r="AN32" i="9"/>
  <c r="BA32" i="9" s="1"/>
  <c r="AO32" i="9"/>
  <c r="BB32" i="9" s="1"/>
  <c r="AJ47" i="9"/>
  <c r="AW47" i="9" s="1"/>
  <c r="AH48" i="9"/>
  <c r="AU48" i="9" s="1"/>
  <c r="AL54" i="9"/>
  <c r="AY54" i="9" s="1"/>
  <c r="AJ55" i="9"/>
  <c r="AW55" i="9" s="1"/>
  <c r="AH71" i="9"/>
  <c r="AU71" i="9" s="1"/>
  <c r="AP75" i="9"/>
  <c r="BC75" i="9" s="1"/>
  <c r="AM76" i="9"/>
  <c r="AZ76" i="9" s="1"/>
  <c r="AH79" i="9"/>
  <c r="AU79" i="9" s="1"/>
  <c r="AO79" i="9"/>
  <c r="BB79" i="9" s="1"/>
  <c r="AP79" i="9"/>
  <c r="BC79" i="9" s="1"/>
  <c r="AG83" i="9"/>
  <c r="AT83" i="9" s="1"/>
  <c r="AE6" i="9"/>
  <c r="AE7" i="9"/>
  <c r="AJ7" i="9" s="1"/>
  <c r="AW7" i="9" s="1"/>
  <c r="AE8" i="9"/>
  <c r="AE9" i="9"/>
  <c r="AE10" i="9"/>
  <c r="AE11" i="9"/>
  <c r="AE12" i="9"/>
  <c r="AE13" i="9"/>
  <c r="AE14" i="9"/>
  <c r="AE15" i="9"/>
  <c r="AM15" i="9" s="1"/>
  <c r="AZ15" i="9" s="1"/>
  <c r="AE16" i="9"/>
  <c r="AE17" i="9"/>
  <c r="AE18" i="9"/>
  <c r="AE19" i="9"/>
  <c r="AE20" i="9"/>
  <c r="AO20" i="9" s="1"/>
  <c r="BB20" i="9" s="1"/>
  <c r="AE21" i="9"/>
  <c r="AE22" i="9"/>
  <c r="AE23" i="9"/>
  <c r="AP23" i="9" s="1"/>
  <c r="BC23" i="9" s="1"/>
  <c r="AE24" i="9"/>
  <c r="AE25" i="9"/>
  <c r="AE26" i="9"/>
  <c r="AE27" i="9"/>
  <c r="AE28" i="9"/>
  <c r="AG28" i="9" s="1"/>
  <c r="AT28" i="9" s="1"/>
  <c r="AE29" i="9"/>
  <c r="AE30" i="9"/>
  <c r="AE31" i="9"/>
  <c r="AL31" i="9" s="1"/>
  <c r="AY31" i="9" s="1"/>
  <c r="AE32" i="9"/>
  <c r="AE33" i="9"/>
  <c r="AM33" i="9" s="1"/>
  <c r="AZ33" i="9" s="1"/>
  <c r="AE34" i="9"/>
  <c r="AE35" i="9"/>
  <c r="AE36" i="9"/>
  <c r="AK36" i="9" s="1"/>
  <c r="AX36" i="9" s="1"/>
  <c r="AE37" i="9"/>
  <c r="AK37" i="9" s="1"/>
  <c r="AX37" i="9" s="1"/>
  <c r="AE38" i="9"/>
  <c r="AE39" i="9"/>
  <c r="AG39" i="9" s="1"/>
  <c r="AT39" i="9" s="1"/>
  <c r="AE40" i="9"/>
  <c r="AK40" i="9" s="1"/>
  <c r="AX40" i="9" s="1"/>
  <c r="AE41" i="9"/>
  <c r="AE42" i="9"/>
  <c r="AE43" i="9"/>
  <c r="AE44" i="9"/>
  <c r="AL44" i="9" s="1"/>
  <c r="AY44" i="9" s="1"/>
  <c r="AE45" i="9"/>
  <c r="AE46" i="9"/>
  <c r="AE47" i="9"/>
  <c r="AI47" i="9" s="1"/>
  <c r="AV47" i="9" s="1"/>
  <c r="AE48" i="9"/>
  <c r="AE49" i="9"/>
  <c r="AE50" i="9"/>
  <c r="AE51" i="9"/>
  <c r="AE52" i="9"/>
  <c r="AN52" i="9" s="1"/>
  <c r="BA52" i="9" s="1"/>
  <c r="AE53" i="9"/>
  <c r="AL53" i="9" s="1"/>
  <c r="AY53" i="9" s="1"/>
  <c r="AE54" i="9"/>
  <c r="AK54" i="9" s="1"/>
  <c r="AX54" i="9" s="1"/>
  <c r="AE55" i="9"/>
  <c r="AN55" i="9" s="1"/>
  <c r="BA55" i="9" s="1"/>
  <c r="AE56" i="9"/>
  <c r="AE57" i="9"/>
  <c r="AE58" i="9"/>
  <c r="AL58" i="9" s="1"/>
  <c r="AY58" i="9" s="1"/>
  <c r="AE59" i="9"/>
  <c r="AE60" i="9"/>
  <c r="AE61" i="9"/>
  <c r="AN61" i="9" s="1"/>
  <c r="BA61" i="9" s="1"/>
  <c r="AE62" i="9"/>
  <c r="AE63" i="9"/>
  <c r="AE64" i="9"/>
  <c r="AO64" i="9" s="1"/>
  <c r="BB64" i="9" s="1"/>
  <c r="AE65" i="9"/>
  <c r="AE66" i="9"/>
  <c r="AE67" i="9"/>
  <c r="AI67" i="9" s="1"/>
  <c r="AV67" i="9" s="1"/>
  <c r="AE68" i="9"/>
  <c r="AE69" i="9"/>
  <c r="AL69" i="9" s="1"/>
  <c r="AY69" i="9" s="1"/>
  <c r="AE70" i="9"/>
  <c r="AJ70" i="9" s="1"/>
  <c r="AW70" i="9" s="1"/>
  <c r="AE71" i="9"/>
  <c r="AM71" i="9" s="1"/>
  <c r="AZ71" i="9" s="1"/>
  <c r="AE72" i="9"/>
  <c r="AO72" i="9" s="1"/>
  <c r="BB72" i="9" s="1"/>
  <c r="AE73" i="9"/>
  <c r="AE74" i="9"/>
  <c r="AJ74" i="9" s="1"/>
  <c r="AW74" i="9" s="1"/>
  <c r="AE75" i="9"/>
  <c r="AE76" i="9"/>
  <c r="AN76" i="9" s="1"/>
  <c r="BA76" i="9" s="1"/>
  <c r="AE77" i="9"/>
  <c r="AL77" i="9" s="1"/>
  <c r="AY77" i="9" s="1"/>
  <c r="AE78" i="9"/>
  <c r="AE79" i="9"/>
  <c r="AM79" i="9" s="1"/>
  <c r="AZ79" i="9" s="1"/>
  <c r="AE80" i="9"/>
  <c r="AE81" i="9"/>
  <c r="AE82" i="9"/>
  <c r="AE83" i="9"/>
  <c r="AE84" i="9"/>
  <c r="AD6" i="9"/>
  <c r="AH6" i="9" s="1"/>
  <c r="AU6" i="9" s="1"/>
  <c r="AD7" i="9"/>
  <c r="AD8" i="9"/>
  <c r="AD9" i="9"/>
  <c r="AD10" i="9"/>
  <c r="AD11" i="9"/>
  <c r="AD12" i="9"/>
  <c r="AD13" i="9"/>
  <c r="AD14" i="9"/>
  <c r="AM14" i="9" s="1"/>
  <c r="AZ14" i="9" s="1"/>
  <c r="AD15" i="9"/>
  <c r="AD16" i="9"/>
  <c r="AD17" i="9"/>
  <c r="AD18" i="9"/>
  <c r="AD19" i="9"/>
  <c r="AD20" i="9"/>
  <c r="AD21" i="9"/>
  <c r="AD22" i="9"/>
  <c r="AD23" i="9"/>
  <c r="AD24" i="9"/>
  <c r="AG24" i="9" s="1"/>
  <c r="AT24" i="9" s="1"/>
  <c r="AD25" i="9"/>
  <c r="AD26" i="9"/>
  <c r="AD27" i="9"/>
  <c r="AG27" i="9" s="1"/>
  <c r="AT27" i="9" s="1"/>
  <c r="AD28" i="9"/>
  <c r="AD29" i="9"/>
  <c r="AD30" i="9"/>
  <c r="AL30" i="9" s="1"/>
  <c r="AY30" i="9" s="1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M44" i="9" s="1"/>
  <c r="AZ44" i="9" s="1"/>
  <c r="AD45" i="9"/>
  <c r="AD46" i="9"/>
  <c r="AD47" i="9"/>
  <c r="AD48" i="9"/>
  <c r="AI48" i="9" s="1"/>
  <c r="AV48" i="9" s="1"/>
  <c r="AD49" i="9"/>
  <c r="AD50" i="9"/>
  <c r="AP50" i="9" s="1"/>
  <c r="BC50" i="9" s="1"/>
  <c r="AD51" i="9"/>
  <c r="AD52" i="9"/>
  <c r="AD53" i="9"/>
  <c r="AD54" i="9"/>
  <c r="AD55" i="9"/>
  <c r="AD56" i="9"/>
  <c r="AD57" i="9"/>
  <c r="AD58" i="9"/>
  <c r="AD59" i="9"/>
  <c r="AD60" i="9"/>
  <c r="AH60" i="9" s="1"/>
  <c r="AU60" i="9" s="1"/>
  <c r="AD61" i="9"/>
  <c r="AD62" i="9"/>
  <c r="AD63" i="9"/>
  <c r="AI63" i="9" s="1"/>
  <c r="AV63" i="9" s="1"/>
  <c r="AD64" i="9"/>
  <c r="AD65" i="9"/>
  <c r="AD66" i="9"/>
  <c r="AK66" i="9" s="1"/>
  <c r="AX66" i="9" s="1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M80" i="9" s="1"/>
  <c r="AZ80" i="9" s="1"/>
  <c r="AD81" i="9"/>
  <c r="AD82" i="9"/>
  <c r="AD83" i="9"/>
  <c r="AO83" i="9" s="1"/>
  <c r="BB83" i="9" s="1"/>
  <c r="AD84" i="9"/>
  <c r="R84" i="9"/>
  <c r="S84" i="9"/>
  <c r="T84" i="9"/>
  <c r="U84" i="9"/>
  <c r="V84" i="9"/>
  <c r="W84" i="9"/>
  <c r="X84" i="9"/>
  <c r="Y84" i="9"/>
  <c r="Z84" i="9"/>
  <c r="R6" i="9"/>
  <c r="S6" i="9"/>
  <c r="T6" i="9"/>
  <c r="U6" i="9"/>
  <c r="V6" i="9"/>
  <c r="W6" i="9"/>
  <c r="X6" i="9"/>
  <c r="Y6" i="9"/>
  <c r="Z6" i="9"/>
  <c r="R7" i="9"/>
  <c r="S7" i="9"/>
  <c r="T7" i="9"/>
  <c r="U7" i="9"/>
  <c r="V7" i="9"/>
  <c r="W7" i="9"/>
  <c r="X7" i="9"/>
  <c r="Y7" i="9"/>
  <c r="Z7" i="9"/>
  <c r="R8" i="9"/>
  <c r="S8" i="9"/>
  <c r="T8" i="9"/>
  <c r="U8" i="9"/>
  <c r="V8" i="9"/>
  <c r="W8" i="9"/>
  <c r="X8" i="9"/>
  <c r="Y8" i="9"/>
  <c r="Z8" i="9"/>
  <c r="R9" i="9"/>
  <c r="S9" i="9"/>
  <c r="T9" i="9"/>
  <c r="U9" i="9"/>
  <c r="V9" i="9"/>
  <c r="W9" i="9"/>
  <c r="X9" i="9"/>
  <c r="Y9" i="9"/>
  <c r="Z9" i="9"/>
  <c r="R10" i="9"/>
  <c r="S10" i="9"/>
  <c r="T10" i="9"/>
  <c r="U10" i="9"/>
  <c r="V10" i="9"/>
  <c r="W10" i="9"/>
  <c r="X10" i="9"/>
  <c r="Y10" i="9"/>
  <c r="Z10" i="9"/>
  <c r="R11" i="9"/>
  <c r="S11" i="9"/>
  <c r="AA11" i="9" s="1"/>
  <c r="T11" i="9"/>
  <c r="U11" i="9"/>
  <c r="V11" i="9"/>
  <c r="W11" i="9"/>
  <c r="X11" i="9"/>
  <c r="Y11" i="9"/>
  <c r="Z11" i="9"/>
  <c r="R12" i="9"/>
  <c r="S12" i="9"/>
  <c r="T12" i="9"/>
  <c r="U12" i="9"/>
  <c r="V12" i="9"/>
  <c r="W12" i="9"/>
  <c r="X12" i="9"/>
  <c r="Y12" i="9"/>
  <c r="Z12" i="9"/>
  <c r="R13" i="9"/>
  <c r="S13" i="9"/>
  <c r="T13" i="9"/>
  <c r="U13" i="9"/>
  <c r="V13" i="9"/>
  <c r="W13" i="9"/>
  <c r="X13" i="9"/>
  <c r="Y13" i="9"/>
  <c r="Z13" i="9"/>
  <c r="R14" i="9"/>
  <c r="S14" i="9"/>
  <c r="T14" i="9"/>
  <c r="U14" i="9"/>
  <c r="V14" i="9"/>
  <c r="W14" i="9"/>
  <c r="X14" i="9"/>
  <c r="Y14" i="9"/>
  <c r="Z14" i="9"/>
  <c r="R15" i="9"/>
  <c r="S15" i="9"/>
  <c r="T15" i="9"/>
  <c r="U15" i="9"/>
  <c r="V15" i="9"/>
  <c r="W15" i="9"/>
  <c r="X15" i="9"/>
  <c r="Y15" i="9"/>
  <c r="Z15" i="9"/>
  <c r="R16" i="9"/>
  <c r="S16" i="9"/>
  <c r="T16" i="9"/>
  <c r="U16" i="9"/>
  <c r="V16" i="9"/>
  <c r="W16" i="9"/>
  <c r="X16" i="9"/>
  <c r="Y16" i="9"/>
  <c r="Z16" i="9"/>
  <c r="R17" i="9"/>
  <c r="S17" i="9"/>
  <c r="T17" i="9"/>
  <c r="U17" i="9"/>
  <c r="V17" i="9"/>
  <c r="W17" i="9"/>
  <c r="X17" i="9"/>
  <c r="Y17" i="9"/>
  <c r="Z17" i="9"/>
  <c r="R18" i="9"/>
  <c r="S18" i="9"/>
  <c r="T18" i="9"/>
  <c r="U18" i="9"/>
  <c r="V18" i="9"/>
  <c r="W18" i="9"/>
  <c r="X18" i="9"/>
  <c r="Y18" i="9"/>
  <c r="Z18" i="9"/>
  <c r="R19" i="9"/>
  <c r="S19" i="9"/>
  <c r="AA19" i="9" s="1"/>
  <c r="T19" i="9"/>
  <c r="U19" i="9"/>
  <c r="V19" i="9"/>
  <c r="W19" i="9"/>
  <c r="X19" i="9"/>
  <c r="Y19" i="9"/>
  <c r="Z19" i="9"/>
  <c r="R20" i="9"/>
  <c r="S20" i="9"/>
  <c r="T20" i="9"/>
  <c r="U20" i="9"/>
  <c r="V20" i="9"/>
  <c r="W20" i="9"/>
  <c r="X20" i="9"/>
  <c r="Y20" i="9"/>
  <c r="Z20" i="9"/>
  <c r="R21" i="9"/>
  <c r="S21" i="9"/>
  <c r="T21" i="9"/>
  <c r="U21" i="9"/>
  <c r="V21" i="9"/>
  <c r="W21" i="9"/>
  <c r="X21" i="9"/>
  <c r="Y21" i="9"/>
  <c r="Z21" i="9"/>
  <c r="R22" i="9"/>
  <c r="S22" i="9"/>
  <c r="T22" i="9"/>
  <c r="U22" i="9"/>
  <c r="V22" i="9"/>
  <c r="W22" i="9"/>
  <c r="X22" i="9"/>
  <c r="Y22" i="9"/>
  <c r="Z22" i="9"/>
  <c r="R23" i="9"/>
  <c r="S23" i="9"/>
  <c r="T23" i="9"/>
  <c r="U23" i="9"/>
  <c r="V23" i="9"/>
  <c r="W23" i="9"/>
  <c r="X23" i="9"/>
  <c r="Y23" i="9"/>
  <c r="Z23" i="9"/>
  <c r="R24" i="9"/>
  <c r="S24" i="9"/>
  <c r="T24" i="9"/>
  <c r="U24" i="9"/>
  <c r="V24" i="9"/>
  <c r="W24" i="9"/>
  <c r="X24" i="9"/>
  <c r="Y24" i="9"/>
  <c r="Z24" i="9"/>
  <c r="R25" i="9"/>
  <c r="S25" i="9"/>
  <c r="T25" i="9"/>
  <c r="U25" i="9"/>
  <c r="V25" i="9"/>
  <c r="W25" i="9"/>
  <c r="X25" i="9"/>
  <c r="Y25" i="9"/>
  <c r="Z25" i="9"/>
  <c r="R26" i="9"/>
  <c r="S26" i="9"/>
  <c r="T26" i="9"/>
  <c r="U26" i="9"/>
  <c r="V26" i="9"/>
  <c r="W26" i="9"/>
  <c r="X26" i="9"/>
  <c r="Y26" i="9"/>
  <c r="Z26" i="9"/>
  <c r="R27" i="9"/>
  <c r="S27" i="9"/>
  <c r="AA27" i="9" s="1"/>
  <c r="T27" i="9"/>
  <c r="U27" i="9"/>
  <c r="V27" i="9"/>
  <c r="W27" i="9"/>
  <c r="X27" i="9"/>
  <c r="Y27" i="9"/>
  <c r="Z27" i="9"/>
  <c r="R28" i="9"/>
  <c r="S28" i="9"/>
  <c r="AA28" i="9" s="1"/>
  <c r="T28" i="9"/>
  <c r="U28" i="9"/>
  <c r="V28" i="9"/>
  <c r="W28" i="9"/>
  <c r="X28" i="9"/>
  <c r="Y28" i="9"/>
  <c r="Z28" i="9"/>
  <c r="R29" i="9"/>
  <c r="S29" i="9"/>
  <c r="T29" i="9"/>
  <c r="U29" i="9"/>
  <c r="V29" i="9"/>
  <c r="W29" i="9"/>
  <c r="X29" i="9"/>
  <c r="Y29" i="9"/>
  <c r="Z29" i="9"/>
  <c r="R30" i="9"/>
  <c r="S30" i="9"/>
  <c r="T30" i="9"/>
  <c r="U30" i="9"/>
  <c r="V30" i="9"/>
  <c r="W30" i="9"/>
  <c r="X30" i="9"/>
  <c r="Y30" i="9"/>
  <c r="Z30" i="9"/>
  <c r="R31" i="9"/>
  <c r="S31" i="9"/>
  <c r="T31" i="9"/>
  <c r="U31" i="9"/>
  <c r="V31" i="9"/>
  <c r="W31" i="9"/>
  <c r="X31" i="9"/>
  <c r="Y31" i="9"/>
  <c r="Z31" i="9"/>
  <c r="R32" i="9"/>
  <c r="S32" i="9"/>
  <c r="T32" i="9"/>
  <c r="U32" i="9"/>
  <c r="V32" i="9"/>
  <c r="W32" i="9"/>
  <c r="X32" i="9"/>
  <c r="Y32" i="9"/>
  <c r="Z32" i="9"/>
  <c r="R33" i="9"/>
  <c r="S33" i="9"/>
  <c r="T33" i="9"/>
  <c r="U33" i="9"/>
  <c r="V33" i="9"/>
  <c r="W33" i="9"/>
  <c r="X33" i="9"/>
  <c r="Y33" i="9"/>
  <c r="Z33" i="9"/>
  <c r="R34" i="9"/>
  <c r="S34" i="9"/>
  <c r="T34" i="9"/>
  <c r="U34" i="9"/>
  <c r="V34" i="9"/>
  <c r="W34" i="9"/>
  <c r="X34" i="9"/>
  <c r="Y34" i="9"/>
  <c r="Z34" i="9"/>
  <c r="R35" i="9"/>
  <c r="S35" i="9"/>
  <c r="AA35" i="9" s="1"/>
  <c r="T35" i="9"/>
  <c r="U35" i="9"/>
  <c r="V35" i="9"/>
  <c r="W35" i="9"/>
  <c r="X35" i="9"/>
  <c r="Y35" i="9"/>
  <c r="Z35" i="9"/>
  <c r="R36" i="9"/>
  <c r="S36" i="9"/>
  <c r="AA36" i="9" s="1"/>
  <c r="T36" i="9"/>
  <c r="U36" i="9"/>
  <c r="V36" i="9"/>
  <c r="W36" i="9"/>
  <c r="X36" i="9"/>
  <c r="Y36" i="9"/>
  <c r="Z36" i="9"/>
  <c r="R37" i="9"/>
  <c r="S37" i="9"/>
  <c r="T37" i="9"/>
  <c r="U37" i="9"/>
  <c r="V37" i="9"/>
  <c r="W37" i="9"/>
  <c r="X37" i="9"/>
  <c r="Y37" i="9"/>
  <c r="Z37" i="9"/>
  <c r="R38" i="9"/>
  <c r="S38" i="9"/>
  <c r="T38" i="9"/>
  <c r="U38" i="9"/>
  <c r="V38" i="9"/>
  <c r="W38" i="9"/>
  <c r="X38" i="9"/>
  <c r="Y38" i="9"/>
  <c r="Z38" i="9"/>
  <c r="R39" i="9"/>
  <c r="S39" i="9"/>
  <c r="AA39" i="9" s="1"/>
  <c r="T39" i="9"/>
  <c r="U39" i="9"/>
  <c r="V39" i="9"/>
  <c r="W39" i="9"/>
  <c r="X39" i="9"/>
  <c r="Y39" i="9"/>
  <c r="Z39" i="9"/>
  <c r="R40" i="9"/>
  <c r="S40" i="9"/>
  <c r="T40" i="9"/>
  <c r="U40" i="9"/>
  <c r="V40" i="9"/>
  <c r="W40" i="9"/>
  <c r="X40" i="9"/>
  <c r="Y40" i="9"/>
  <c r="Z40" i="9"/>
  <c r="R41" i="9"/>
  <c r="S41" i="9"/>
  <c r="T41" i="9"/>
  <c r="U41" i="9"/>
  <c r="V41" i="9"/>
  <c r="W41" i="9"/>
  <c r="X41" i="9"/>
  <c r="Y41" i="9"/>
  <c r="Z41" i="9"/>
  <c r="R42" i="9"/>
  <c r="S42" i="9"/>
  <c r="T42" i="9"/>
  <c r="U42" i="9"/>
  <c r="V42" i="9"/>
  <c r="W42" i="9"/>
  <c r="X42" i="9"/>
  <c r="Y42" i="9"/>
  <c r="Z42" i="9"/>
  <c r="R43" i="9"/>
  <c r="S43" i="9"/>
  <c r="AA43" i="9" s="1"/>
  <c r="T43" i="9"/>
  <c r="U43" i="9"/>
  <c r="V43" i="9"/>
  <c r="W43" i="9"/>
  <c r="X43" i="9"/>
  <c r="Y43" i="9"/>
  <c r="Z43" i="9"/>
  <c r="R44" i="9"/>
  <c r="S44" i="9"/>
  <c r="AA44" i="9" s="1"/>
  <c r="T44" i="9"/>
  <c r="U44" i="9"/>
  <c r="V44" i="9"/>
  <c r="W44" i="9"/>
  <c r="X44" i="9"/>
  <c r="Y44" i="9"/>
  <c r="Z44" i="9"/>
  <c r="R45" i="9"/>
  <c r="S45" i="9"/>
  <c r="T45" i="9"/>
  <c r="U45" i="9"/>
  <c r="V45" i="9"/>
  <c r="W45" i="9"/>
  <c r="X45" i="9"/>
  <c r="Y45" i="9"/>
  <c r="Z45" i="9"/>
  <c r="R46" i="9"/>
  <c r="S46" i="9"/>
  <c r="T46" i="9"/>
  <c r="U46" i="9"/>
  <c r="V46" i="9"/>
  <c r="W46" i="9"/>
  <c r="X46" i="9"/>
  <c r="Y46" i="9"/>
  <c r="Z46" i="9"/>
  <c r="R47" i="9"/>
  <c r="S47" i="9"/>
  <c r="AA47" i="9" s="1"/>
  <c r="T47" i="9"/>
  <c r="U47" i="9"/>
  <c r="V47" i="9"/>
  <c r="W47" i="9"/>
  <c r="X47" i="9"/>
  <c r="Y47" i="9"/>
  <c r="Z47" i="9"/>
  <c r="R48" i="9"/>
  <c r="S48" i="9"/>
  <c r="T48" i="9"/>
  <c r="U48" i="9"/>
  <c r="V48" i="9"/>
  <c r="W48" i="9"/>
  <c r="X48" i="9"/>
  <c r="Y48" i="9"/>
  <c r="Z48" i="9"/>
  <c r="R49" i="9"/>
  <c r="S49" i="9"/>
  <c r="T49" i="9"/>
  <c r="U49" i="9"/>
  <c r="V49" i="9"/>
  <c r="W49" i="9"/>
  <c r="X49" i="9"/>
  <c r="Y49" i="9"/>
  <c r="Z49" i="9"/>
  <c r="R50" i="9"/>
  <c r="S50" i="9"/>
  <c r="T50" i="9"/>
  <c r="U50" i="9"/>
  <c r="V50" i="9"/>
  <c r="W50" i="9"/>
  <c r="X50" i="9"/>
  <c r="Y50" i="9"/>
  <c r="Z50" i="9"/>
  <c r="R51" i="9"/>
  <c r="S51" i="9"/>
  <c r="AA51" i="9" s="1"/>
  <c r="T51" i="9"/>
  <c r="U51" i="9"/>
  <c r="V51" i="9"/>
  <c r="W51" i="9"/>
  <c r="X51" i="9"/>
  <c r="Y51" i="9"/>
  <c r="Z51" i="9"/>
  <c r="R52" i="9"/>
  <c r="S52" i="9"/>
  <c r="T52" i="9"/>
  <c r="U52" i="9"/>
  <c r="V52" i="9"/>
  <c r="W52" i="9"/>
  <c r="X52" i="9"/>
  <c r="Y52" i="9"/>
  <c r="Z52" i="9"/>
  <c r="R53" i="9"/>
  <c r="S53" i="9"/>
  <c r="T53" i="9"/>
  <c r="U53" i="9"/>
  <c r="V53" i="9"/>
  <c r="W53" i="9"/>
  <c r="X53" i="9"/>
  <c r="Y53" i="9"/>
  <c r="Z53" i="9"/>
  <c r="R54" i="9"/>
  <c r="S54" i="9"/>
  <c r="T54" i="9"/>
  <c r="U54" i="9"/>
  <c r="V54" i="9"/>
  <c r="W54" i="9"/>
  <c r="X54" i="9"/>
  <c r="Y54" i="9"/>
  <c r="Z54" i="9"/>
  <c r="R55" i="9"/>
  <c r="S55" i="9"/>
  <c r="AA55" i="9" s="1"/>
  <c r="T55" i="9"/>
  <c r="U55" i="9"/>
  <c r="V55" i="9"/>
  <c r="W55" i="9"/>
  <c r="X55" i="9"/>
  <c r="Y55" i="9"/>
  <c r="Z55" i="9"/>
  <c r="R56" i="9"/>
  <c r="S56" i="9"/>
  <c r="T56" i="9"/>
  <c r="U56" i="9"/>
  <c r="V56" i="9"/>
  <c r="W56" i="9"/>
  <c r="X56" i="9"/>
  <c r="Y56" i="9"/>
  <c r="Z56" i="9"/>
  <c r="R57" i="9"/>
  <c r="S57" i="9"/>
  <c r="T57" i="9"/>
  <c r="U57" i="9"/>
  <c r="V57" i="9"/>
  <c r="W57" i="9"/>
  <c r="X57" i="9"/>
  <c r="Y57" i="9"/>
  <c r="Z57" i="9"/>
  <c r="R58" i="9"/>
  <c r="S58" i="9"/>
  <c r="AA58" i="9" s="1"/>
  <c r="T58" i="9"/>
  <c r="U58" i="9"/>
  <c r="V58" i="9"/>
  <c r="W58" i="9"/>
  <c r="X58" i="9"/>
  <c r="Y58" i="9"/>
  <c r="Z58" i="9"/>
  <c r="R59" i="9"/>
  <c r="S59" i="9"/>
  <c r="AA59" i="9" s="1"/>
  <c r="T59" i="9"/>
  <c r="U59" i="9"/>
  <c r="V59" i="9"/>
  <c r="W59" i="9"/>
  <c r="X59" i="9"/>
  <c r="Y59" i="9"/>
  <c r="Z59" i="9"/>
  <c r="R60" i="9"/>
  <c r="S60" i="9"/>
  <c r="AA60" i="9" s="1"/>
  <c r="T60" i="9"/>
  <c r="U60" i="9"/>
  <c r="V60" i="9"/>
  <c r="W60" i="9"/>
  <c r="X60" i="9"/>
  <c r="Y60" i="9"/>
  <c r="Z60" i="9"/>
  <c r="R61" i="9"/>
  <c r="S61" i="9"/>
  <c r="T61" i="9"/>
  <c r="U61" i="9"/>
  <c r="V61" i="9"/>
  <c r="W61" i="9"/>
  <c r="X61" i="9"/>
  <c r="Y61" i="9"/>
  <c r="Z61" i="9"/>
  <c r="R62" i="9"/>
  <c r="S62" i="9"/>
  <c r="T62" i="9"/>
  <c r="U62" i="9"/>
  <c r="V62" i="9"/>
  <c r="W62" i="9"/>
  <c r="X62" i="9"/>
  <c r="Y62" i="9"/>
  <c r="Z62" i="9"/>
  <c r="R63" i="9"/>
  <c r="S63" i="9"/>
  <c r="AA63" i="9" s="1"/>
  <c r="T63" i="9"/>
  <c r="U63" i="9"/>
  <c r="V63" i="9"/>
  <c r="W63" i="9"/>
  <c r="X63" i="9"/>
  <c r="Y63" i="9"/>
  <c r="Z63" i="9"/>
  <c r="R64" i="9"/>
  <c r="S64" i="9"/>
  <c r="T64" i="9"/>
  <c r="U64" i="9"/>
  <c r="V64" i="9"/>
  <c r="W64" i="9"/>
  <c r="X64" i="9"/>
  <c r="Y64" i="9"/>
  <c r="Z64" i="9"/>
  <c r="R65" i="9"/>
  <c r="S65" i="9"/>
  <c r="T65" i="9"/>
  <c r="U65" i="9"/>
  <c r="V65" i="9"/>
  <c r="W65" i="9"/>
  <c r="X65" i="9"/>
  <c r="Y65" i="9"/>
  <c r="Z65" i="9"/>
  <c r="R66" i="9"/>
  <c r="S66" i="9"/>
  <c r="AA66" i="9" s="1"/>
  <c r="T66" i="9"/>
  <c r="U66" i="9"/>
  <c r="V66" i="9"/>
  <c r="W66" i="9"/>
  <c r="X66" i="9"/>
  <c r="Y66" i="9"/>
  <c r="Z66" i="9"/>
  <c r="R67" i="9"/>
  <c r="S67" i="9"/>
  <c r="AA67" i="9" s="1"/>
  <c r="T67" i="9"/>
  <c r="U67" i="9"/>
  <c r="V67" i="9"/>
  <c r="W67" i="9"/>
  <c r="X67" i="9"/>
  <c r="Y67" i="9"/>
  <c r="Z67" i="9"/>
  <c r="R68" i="9"/>
  <c r="S68" i="9"/>
  <c r="AA68" i="9" s="1"/>
  <c r="T68" i="9"/>
  <c r="U68" i="9"/>
  <c r="V68" i="9"/>
  <c r="W68" i="9"/>
  <c r="X68" i="9"/>
  <c r="Y68" i="9"/>
  <c r="Z68" i="9"/>
  <c r="R69" i="9"/>
  <c r="S69" i="9"/>
  <c r="T69" i="9"/>
  <c r="U69" i="9"/>
  <c r="V69" i="9"/>
  <c r="W69" i="9"/>
  <c r="X69" i="9"/>
  <c r="Y69" i="9"/>
  <c r="Z69" i="9"/>
  <c r="R70" i="9"/>
  <c r="S70" i="9"/>
  <c r="T70" i="9"/>
  <c r="U70" i="9"/>
  <c r="V70" i="9"/>
  <c r="W70" i="9"/>
  <c r="X70" i="9"/>
  <c r="Y70" i="9"/>
  <c r="Z70" i="9"/>
  <c r="R71" i="9"/>
  <c r="S71" i="9"/>
  <c r="AA71" i="9" s="1"/>
  <c r="T71" i="9"/>
  <c r="U71" i="9"/>
  <c r="V71" i="9"/>
  <c r="W71" i="9"/>
  <c r="X71" i="9"/>
  <c r="Y71" i="9"/>
  <c r="Z71" i="9"/>
  <c r="R72" i="9"/>
  <c r="S72" i="9"/>
  <c r="T72" i="9"/>
  <c r="U72" i="9"/>
  <c r="V72" i="9"/>
  <c r="W72" i="9"/>
  <c r="X72" i="9"/>
  <c r="Y72" i="9"/>
  <c r="Z72" i="9"/>
  <c r="R73" i="9"/>
  <c r="S73" i="9"/>
  <c r="T73" i="9"/>
  <c r="U73" i="9"/>
  <c r="V73" i="9"/>
  <c r="W73" i="9"/>
  <c r="X73" i="9"/>
  <c r="Y73" i="9"/>
  <c r="Z73" i="9"/>
  <c r="R74" i="9"/>
  <c r="S74" i="9"/>
  <c r="AA74" i="9" s="1"/>
  <c r="T74" i="9"/>
  <c r="U74" i="9"/>
  <c r="V74" i="9"/>
  <c r="W74" i="9"/>
  <c r="X74" i="9"/>
  <c r="Y74" i="9"/>
  <c r="Z74" i="9"/>
  <c r="R75" i="9"/>
  <c r="S75" i="9"/>
  <c r="AA75" i="9" s="1"/>
  <c r="T75" i="9"/>
  <c r="U75" i="9"/>
  <c r="V75" i="9"/>
  <c r="W75" i="9"/>
  <c r="X75" i="9"/>
  <c r="Y75" i="9"/>
  <c r="Z75" i="9"/>
  <c r="R76" i="9"/>
  <c r="S76" i="9"/>
  <c r="AA76" i="9" s="1"/>
  <c r="T76" i="9"/>
  <c r="U76" i="9"/>
  <c r="V76" i="9"/>
  <c r="W76" i="9"/>
  <c r="X76" i="9"/>
  <c r="Y76" i="9"/>
  <c r="Z76" i="9"/>
  <c r="R77" i="9"/>
  <c r="S77" i="9"/>
  <c r="T77" i="9"/>
  <c r="U77" i="9"/>
  <c r="V77" i="9"/>
  <c r="W77" i="9"/>
  <c r="X77" i="9"/>
  <c r="Y77" i="9"/>
  <c r="Z77" i="9"/>
  <c r="R78" i="9"/>
  <c r="S78" i="9"/>
  <c r="T78" i="9"/>
  <c r="U78" i="9"/>
  <c r="V78" i="9"/>
  <c r="W78" i="9"/>
  <c r="X78" i="9"/>
  <c r="Y78" i="9"/>
  <c r="Z78" i="9"/>
  <c r="R79" i="9"/>
  <c r="S79" i="9"/>
  <c r="AA79" i="9" s="1"/>
  <c r="T79" i="9"/>
  <c r="U79" i="9"/>
  <c r="V79" i="9"/>
  <c r="W79" i="9"/>
  <c r="X79" i="9"/>
  <c r="Y79" i="9"/>
  <c r="Z79" i="9"/>
  <c r="R80" i="9"/>
  <c r="S80" i="9"/>
  <c r="T80" i="9"/>
  <c r="U80" i="9"/>
  <c r="V80" i="9"/>
  <c r="W80" i="9"/>
  <c r="X80" i="9"/>
  <c r="Y80" i="9"/>
  <c r="Z80" i="9"/>
  <c r="R81" i="9"/>
  <c r="S81" i="9"/>
  <c r="T81" i="9"/>
  <c r="U81" i="9"/>
  <c r="V81" i="9"/>
  <c r="W81" i="9"/>
  <c r="X81" i="9"/>
  <c r="Y81" i="9"/>
  <c r="Z81" i="9"/>
  <c r="R82" i="9"/>
  <c r="S82" i="9"/>
  <c r="AA82" i="9" s="1"/>
  <c r="T82" i="9"/>
  <c r="U82" i="9"/>
  <c r="V82" i="9"/>
  <c r="W82" i="9"/>
  <c r="X82" i="9"/>
  <c r="Y82" i="9"/>
  <c r="Z82" i="9"/>
  <c r="R83" i="9"/>
  <c r="S83" i="9"/>
  <c r="AA83" i="9" s="1"/>
  <c r="T83" i="9"/>
  <c r="U83" i="9"/>
  <c r="V83" i="9"/>
  <c r="W83" i="9"/>
  <c r="X83" i="9"/>
  <c r="Y83" i="9"/>
  <c r="Z83" i="9"/>
  <c r="Y43" i="11"/>
  <c r="Z43" i="11" s="1"/>
  <c r="AC43" i="11"/>
  <c r="AD43" i="11" s="1"/>
  <c r="F107" i="9"/>
  <c r="J106" i="9"/>
  <c r="K106" i="9"/>
  <c r="I107" i="9"/>
  <c r="J107" i="9"/>
  <c r="K107" i="9"/>
  <c r="L107" i="9"/>
  <c r="M107" i="9"/>
  <c r="N107" i="9"/>
  <c r="O107" i="9"/>
  <c r="S101" i="13" l="1"/>
  <c r="T101" i="13" s="1"/>
  <c r="M83" i="13"/>
  <c r="N83" i="13" s="1"/>
  <c r="O83" i="13" s="1"/>
  <c r="M84" i="13"/>
  <c r="N84" i="13" s="1"/>
  <c r="O84" i="13" s="1"/>
  <c r="S84" i="13" s="1"/>
  <c r="T84" i="13" s="1"/>
  <c r="M85" i="13"/>
  <c r="N85" i="13" s="1"/>
  <c r="O85" i="13" s="1"/>
  <c r="S85" i="13" s="1"/>
  <c r="T85" i="13" s="1"/>
  <c r="M86" i="13"/>
  <c r="N86" i="13" s="1"/>
  <c r="O86" i="13" s="1"/>
  <c r="S86" i="13" s="1"/>
  <c r="T86" i="13" s="1"/>
  <c r="M87" i="13"/>
  <c r="N87" i="13" s="1"/>
  <c r="O87" i="13" s="1"/>
  <c r="S87" i="13" s="1"/>
  <c r="T87" i="13" s="1"/>
  <c r="M88" i="13"/>
  <c r="N88" i="13" s="1"/>
  <c r="O88" i="13" s="1"/>
  <c r="S88" i="13" s="1"/>
  <c r="T88" i="13" s="1"/>
  <c r="M89" i="13"/>
  <c r="N89" i="13" s="1"/>
  <c r="O89" i="13" s="1"/>
  <c r="S89" i="13" s="1"/>
  <c r="T89" i="13" s="1"/>
  <c r="M90" i="13"/>
  <c r="N90" i="13" s="1"/>
  <c r="O90" i="13" s="1"/>
  <c r="M91" i="13"/>
  <c r="N91" i="13" s="1"/>
  <c r="O91" i="13" s="1"/>
  <c r="S91" i="13" s="1"/>
  <c r="T91" i="13" s="1"/>
  <c r="M94" i="13"/>
  <c r="N94" i="13" s="1"/>
  <c r="O94" i="13" s="1"/>
  <c r="S94" i="13" s="1"/>
  <c r="T94" i="13" s="1"/>
  <c r="M92" i="13"/>
  <c r="N92" i="13" s="1"/>
  <c r="O92" i="13" s="1"/>
  <c r="S92" i="13" s="1"/>
  <c r="T92" i="13" s="1"/>
  <c r="M93" i="13"/>
  <c r="N93" i="13" s="1"/>
  <c r="O93" i="13" s="1"/>
  <c r="S93" i="13" s="1"/>
  <c r="T93" i="13" s="1"/>
  <c r="S110" i="13"/>
  <c r="T110" i="13" s="1"/>
  <c r="S78" i="13"/>
  <c r="T78" i="13" s="1"/>
  <c r="S96" i="13"/>
  <c r="T96" i="13" s="1"/>
  <c r="M104" i="13"/>
  <c r="N104" i="13" s="1"/>
  <c r="O104" i="13" s="1"/>
  <c r="M105" i="13"/>
  <c r="N105" i="13" s="1"/>
  <c r="O105" i="13" s="1"/>
  <c r="S105" i="13" s="1"/>
  <c r="T105" i="13" s="1"/>
  <c r="M106" i="13"/>
  <c r="N106" i="13" s="1"/>
  <c r="O106" i="13" s="1"/>
  <c r="S106" i="13" s="1"/>
  <c r="T106" i="13" s="1"/>
  <c r="M107" i="13"/>
  <c r="N107" i="13" s="1"/>
  <c r="O107" i="13" s="1"/>
  <c r="M108" i="13"/>
  <c r="N108" i="13" s="1"/>
  <c r="O108" i="13" s="1"/>
  <c r="S108" i="13" s="1"/>
  <c r="T108" i="13" s="1"/>
  <c r="M109" i="13"/>
  <c r="N109" i="13" s="1"/>
  <c r="O109" i="13" s="1"/>
  <c r="M110" i="13"/>
  <c r="N110" i="13" s="1"/>
  <c r="O110" i="13" s="1"/>
  <c r="M111" i="13"/>
  <c r="N111" i="13" s="1"/>
  <c r="O111" i="13" s="1"/>
  <c r="S111" i="13" s="1"/>
  <c r="T111" i="13" s="1"/>
  <c r="M112" i="13"/>
  <c r="M113" i="13"/>
  <c r="M114" i="13"/>
  <c r="M115" i="13"/>
  <c r="S90" i="13"/>
  <c r="T90" i="13" s="1"/>
  <c r="S109" i="13"/>
  <c r="T109" i="13" s="1"/>
  <c r="M69" i="13"/>
  <c r="M70" i="13"/>
  <c r="M71" i="13"/>
  <c r="M72" i="13"/>
  <c r="S104" i="13"/>
  <c r="T104" i="13" s="1"/>
  <c r="S79" i="13"/>
  <c r="T79" i="13" s="1"/>
  <c r="S97" i="13"/>
  <c r="T97" i="13" s="1"/>
  <c r="S83" i="13"/>
  <c r="T83" i="13" s="1"/>
  <c r="M30" i="13"/>
  <c r="N30" i="13" s="1"/>
  <c r="M31" i="13"/>
  <c r="M32" i="13"/>
  <c r="M33" i="13"/>
  <c r="S107" i="13"/>
  <c r="T107" i="13" s="1"/>
  <c r="M116" i="13"/>
  <c r="N116" i="13" s="1"/>
  <c r="O116" i="13" s="1"/>
  <c r="S116" i="13" s="1"/>
  <c r="T116" i="13" s="1"/>
  <c r="M117" i="13"/>
  <c r="N117" i="13" s="1"/>
  <c r="O117" i="13" s="1"/>
  <c r="S117" i="13" s="1"/>
  <c r="T117" i="13" s="1"/>
  <c r="M118" i="13"/>
  <c r="N118" i="13" s="1"/>
  <c r="O118" i="13" s="1"/>
  <c r="S118" i="13" s="1"/>
  <c r="T118" i="13" s="1"/>
  <c r="G106" i="9"/>
  <c r="M100" i="13"/>
  <c r="N100" i="13" s="1"/>
  <c r="O100" i="13" s="1"/>
  <c r="S100" i="13" s="1"/>
  <c r="T100" i="13" s="1"/>
  <c r="AK77" i="9"/>
  <c r="AX77" i="9" s="1"/>
  <c r="AH24" i="9"/>
  <c r="AU24" i="9" s="1"/>
  <c r="M99" i="13"/>
  <c r="N99" i="13" s="1"/>
  <c r="O99" i="13" s="1"/>
  <c r="S99" i="13" s="1"/>
  <c r="T99" i="13" s="1"/>
  <c r="M81" i="13"/>
  <c r="N81" i="13" s="1"/>
  <c r="O81" i="13" s="1"/>
  <c r="S81" i="13" s="1"/>
  <c r="T81" i="13" s="1"/>
  <c r="M63" i="13"/>
  <c r="F106" i="9"/>
  <c r="AI82" i="9"/>
  <c r="AV82" i="9" s="1"/>
  <c r="AJ46" i="9"/>
  <c r="AW46" i="9" s="1"/>
  <c r="M98" i="13"/>
  <c r="N98" i="13" s="1"/>
  <c r="O98" i="13" s="1"/>
  <c r="S98" i="13" s="1"/>
  <c r="T98" i="13" s="1"/>
  <c r="M80" i="13"/>
  <c r="N80" i="13" s="1"/>
  <c r="O80" i="13" s="1"/>
  <c r="S80" i="13" s="1"/>
  <c r="T80" i="13" s="1"/>
  <c r="M44" i="13"/>
  <c r="M43" i="13"/>
  <c r="AM43" i="9"/>
  <c r="AZ43" i="9" s="1"/>
  <c r="AO68" i="9"/>
  <c r="BB68" i="9" s="1"/>
  <c r="AP32" i="9"/>
  <c r="BC32" i="9" s="1"/>
  <c r="M95" i="13"/>
  <c r="N95" i="13" s="1"/>
  <c r="O95" i="13" s="1"/>
  <c r="S95" i="13" s="1"/>
  <c r="T95" i="13" s="1"/>
  <c r="M77" i="13"/>
  <c r="M59" i="13"/>
  <c r="M41" i="13"/>
  <c r="M39" i="13"/>
  <c r="AI59" i="9"/>
  <c r="AV59" i="9" s="1"/>
  <c r="AM84" i="9"/>
  <c r="AZ84" i="9" s="1"/>
  <c r="AJ48" i="9"/>
  <c r="AW48" i="9" s="1"/>
  <c r="AK70" i="9"/>
  <c r="AX70" i="9" s="1"/>
  <c r="M75" i="13"/>
  <c r="M57" i="13"/>
  <c r="AK22" i="9"/>
  <c r="AX22" i="9" s="1"/>
  <c r="AH47" i="9"/>
  <c r="AU47" i="9" s="1"/>
  <c r="AL29" i="9"/>
  <c r="AY29" i="9" s="1"/>
  <c r="AP40" i="9"/>
  <c r="BC40" i="9" s="1"/>
  <c r="M74" i="13"/>
  <c r="M38" i="13"/>
  <c r="M35" i="13"/>
  <c r="M76" i="13"/>
  <c r="AH39" i="9"/>
  <c r="AU39" i="9" s="1"/>
  <c r="AM69" i="9"/>
  <c r="AZ69" i="9" s="1"/>
  <c r="AH40" i="9"/>
  <c r="AU40" i="9" s="1"/>
  <c r="O106" i="9"/>
  <c r="AI38" i="9"/>
  <c r="AV38" i="9" s="1"/>
  <c r="AM63" i="9"/>
  <c r="AZ63" i="9" s="1"/>
  <c r="AG40" i="9"/>
  <c r="AT40" i="9" s="1"/>
  <c r="N106" i="9"/>
  <c r="AK55" i="9"/>
  <c r="AX55" i="9" s="1"/>
  <c r="AN80" i="9"/>
  <c r="BA80" i="9" s="1"/>
  <c r="AJ44" i="9"/>
  <c r="AW44" i="9" s="1"/>
  <c r="AH64" i="9"/>
  <c r="AU64" i="9" s="1"/>
  <c r="AJ37" i="9"/>
  <c r="AW37" i="9" s="1"/>
  <c r="M53" i="13"/>
  <c r="M106" i="9"/>
  <c r="AJ63" i="9"/>
  <c r="AW63" i="9" s="1"/>
  <c r="AL36" i="9"/>
  <c r="AY36" i="9" s="1"/>
  <c r="M52" i="13"/>
  <c r="L106" i="9"/>
  <c r="AL71" i="9"/>
  <c r="AY71" i="9" s="1"/>
  <c r="AK35" i="9"/>
  <c r="AX35" i="9" s="1"/>
  <c r="AG60" i="9"/>
  <c r="AT60" i="9" s="1"/>
  <c r="AK24" i="9"/>
  <c r="AX24" i="9" s="1"/>
  <c r="AM61" i="9"/>
  <c r="AZ61" i="9" s="1"/>
  <c r="AJ36" i="9"/>
  <c r="AW36" i="9" s="1"/>
  <c r="M51" i="13"/>
  <c r="AP60" i="9"/>
  <c r="BC60" i="9" s="1"/>
  <c r="M50" i="13"/>
  <c r="AN51" i="9"/>
  <c r="BA51" i="9" s="1"/>
  <c r="AO60" i="9"/>
  <c r="BB60" i="9" s="1"/>
  <c r="M103" i="13"/>
  <c r="N103" i="13" s="1"/>
  <c r="O103" i="13" s="1"/>
  <c r="S103" i="13" s="1"/>
  <c r="T103" i="13" s="1"/>
  <c r="M49" i="13"/>
  <c r="I106" i="9"/>
  <c r="M102" i="13"/>
  <c r="N102" i="13" s="1"/>
  <c r="O102" i="13" s="1"/>
  <c r="S102" i="13" s="1"/>
  <c r="T102" i="13" s="1"/>
  <c r="M48" i="13"/>
  <c r="AL67" i="9"/>
  <c r="AY67" i="9" s="1"/>
  <c r="AM31" i="9"/>
  <c r="AZ31" i="9" s="1"/>
  <c r="M46" i="13"/>
  <c r="Y44" i="11"/>
  <c r="Z44" i="11" s="1"/>
  <c r="AA44" i="11" s="1"/>
  <c r="AE44" i="11" s="1"/>
  <c r="AL83" i="9"/>
  <c r="AY83" i="9" s="1"/>
  <c r="AM75" i="9"/>
  <c r="AZ75" i="9" s="1"/>
  <c r="AM67" i="9"/>
  <c r="AZ67" i="9" s="1"/>
  <c r="AM59" i="9"/>
  <c r="AZ59" i="9" s="1"/>
  <c r="AH51" i="9"/>
  <c r="AU51" i="9" s="1"/>
  <c r="AG43" i="9"/>
  <c r="AT43" i="9" s="1"/>
  <c r="AO35" i="9"/>
  <c r="BB35" i="9" s="1"/>
  <c r="AI27" i="9"/>
  <c r="AV27" i="9" s="1"/>
  <c r="AH19" i="9"/>
  <c r="AU19" i="9" s="1"/>
  <c r="AL11" i="9"/>
  <c r="AY11" i="9" s="1"/>
  <c r="AI71" i="9"/>
  <c r="AV71" i="9" s="1"/>
  <c r="AG68" i="9"/>
  <c r="AT68" i="9" s="1"/>
  <c r="AP64" i="9"/>
  <c r="BC64" i="9" s="1"/>
  <c r="AO51" i="9"/>
  <c r="BB51" i="9" s="1"/>
  <c r="AN33" i="9"/>
  <c r="BA33" i="9" s="1"/>
  <c r="AN14" i="9"/>
  <c r="BA14" i="9" s="1"/>
  <c r="AJ83" i="9"/>
  <c r="AW83" i="9" s="1"/>
  <c r="AK83" i="9"/>
  <c r="AX83" i="9" s="1"/>
  <c r="AM83" i="9"/>
  <c r="AZ83" i="9" s="1"/>
  <c r="AI83" i="9"/>
  <c r="AV83" i="9" s="1"/>
  <c r="AK75" i="9"/>
  <c r="AX75" i="9" s="1"/>
  <c r="AL75" i="9"/>
  <c r="AY75" i="9" s="1"/>
  <c r="AN75" i="9"/>
  <c r="BA75" i="9" s="1"/>
  <c r="AJ75" i="9"/>
  <c r="AW75" i="9" s="1"/>
  <c r="AL82" i="9"/>
  <c r="AY82" i="9" s="1"/>
  <c r="AM82" i="9"/>
  <c r="AZ82" i="9" s="1"/>
  <c r="AN82" i="9"/>
  <c r="BA82" i="9" s="1"/>
  <c r="AG82" i="9"/>
  <c r="AT82" i="9" s="1"/>
  <c r="AO82" i="9"/>
  <c r="BB82" i="9" s="1"/>
  <c r="AJ82" i="9"/>
  <c r="AW82" i="9" s="1"/>
  <c r="AK82" i="9"/>
  <c r="AX82" i="9" s="1"/>
  <c r="AM74" i="9"/>
  <c r="AZ74" i="9" s="1"/>
  <c r="AN74" i="9"/>
  <c r="BA74" i="9" s="1"/>
  <c r="AG74" i="9"/>
  <c r="AT74" i="9" s="1"/>
  <c r="AO74" i="9"/>
  <c r="BB74" i="9" s="1"/>
  <c r="AH74" i="9"/>
  <c r="AU74" i="9" s="1"/>
  <c r="AP74" i="9"/>
  <c r="BC74" i="9" s="1"/>
  <c r="AK74" i="9"/>
  <c r="AX74" i="9" s="1"/>
  <c r="AL74" i="9"/>
  <c r="AY74" i="9" s="1"/>
  <c r="AN66" i="9"/>
  <c r="BA66" i="9" s="1"/>
  <c r="AG66" i="9"/>
  <c r="AT66" i="9" s="1"/>
  <c r="AO66" i="9"/>
  <c r="BB66" i="9" s="1"/>
  <c r="AH66" i="9"/>
  <c r="AU66" i="9" s="1"/>
  <c r="AP66" i="9"/>
  <c r="BC66" i="9" s="1"/>
  <c r="AI66" i="9"/>
  <c r="AV66" i="9" s="1"/>
  <c r="AL66" i="9"/>
  <c r="AY66" i="9" s="1"/>
  <c r="AM66" i="9"/>
  <c r="AZ66" i="9" s="1"/>
  <c r="AG58" i="9"/>
  <c r="AT58" i="9" s="1"/>
  <c r="AO58" i="9"/>
  <c r="BB58" i="9" s="1"/>
  <c r="AH58" i="9"/>
  <c r="AU58" i="9" s="1"/>
  <c r="AP58" i="9"/>
  <c r="BC58" i="9" s="1"/>
  <c r="AI58" i="9"/>
  <c r="AV58" i="9" s="1"/>
  <c r="AJ58" i="9"/>
  <c r="AW58" i="9" s="1"/>
  <c r="AM58" i="9"/>
  <c r="AZ58" i="9" s="1"/>
  <c r="AN58" i="9"/>
  <c r="BA58" i="9" s="1"/>
  <c r="AM50" i="9"/>
  <c r="AZ50" i="9" s="1"/>
  <c r="AJ50" i="9"/>
  <c r="AW50" i="9" s="1"/>
  <c r="AK50" i="9"/>
  <c r="AX50" i="9" s="1"/>
  <c r="AL50" i="9"/>
  <c r="AY50" i="9" s="1"/>
  <c r="AN50" i="9"/>
  <c r="BA50" i="9" s="1"/>
  <c r="AH50" i="9"/>
  <c r="AU50" i="9" s="1"/>
  <c r="AI50" i="9"/>
  <c r="AV50" i="9" s="1"/>
  <c r="AN42" i="9"/>
  <c r="BA42" i="9" s="1"/>
  <c r="AI42" i="9"/>
  <c r="AV42" i="9" s="1"/>
  <c r="AJ42" i="9"/>
  <c r="AW42" i="9" s="1"/>
  <c r="AK42" i="9"/>
  <c r="AX42" i="9" s="1"/>
  <c r="AL42" i="9"/>
  <c r="AY42" i="9" s="1"/>
  <c r="AG42" i="9"/>
  <c r="AT42" i="9" s="1"/>
  <c r="AP42" i="9"/>
  <c r="BC42" i="9" s="1"/>
  <c r="AH42" i="9"/>
  <c r="AU42" i="9" s="1"/>
  <c r="AG34" i="9"/>
  <c r="AT34" i="9" s="1"/>
  <c r="AO34" i="9"/>
  <c r="BB34" i="9" s="1"/>
  <c r="AH34" i="9"/>
  <c r="AU34" i="9" s="1"/>
  <c r="AI34" i="9"/>
  <c r="AV34" i="9" s="1"/>
  <c r="AJ34" i="9"/>
  <c r="AW34" i="9" s="1"/>
  <c r="AK34" i="9"/>
  <c r="AX34" i="9" s="1"/>
  <c r="AN34" i="9"/>
  <c r="BA34" i="9" s="1"/>
  <c r="AP34" i="9"/>
  <c r="BC34" i="9" s="1"/>
  <c r="AM26" i="9"/>
  <c r="AZ26" i="9" s="1"/>
  <c r="AG26" i="9"/>
  <c r="AT26" i="9" s="1"/>
  <c r="AO26" i="9"/>
  <c r="BB26" i="9" s="1"/>
  <c r="AH26" i="9"/>
  <c r="AU26" i="9" s="1"/>
  <c r="AP26" i="9"/>
  <c r="BC26" i="9" s="1"/>
  <c r="AI26" i="9"/>
  <c r="AV26" i="9" s="1"/>
  <c r="AJ26" i="9"/>
  <c r="AW26" i="9" s="1"/>
  <c r="AK26" i="9"/>
  <c r="AX26" i="9" s="1"/>
  <c r="AL26" i="9"/>
  <c r="AY26" i="9" s="1"/>
  <c r="AH18" i="9"/>
  <c r="AU18" i="9" s="1"/>
  <c r="AP18" i="9"/>
  <c r="BC18" i="9" s="1"/>
  <c r="AI18" i="9"/>
  <c r="AV18" i="9" s="1"/>
  <c r="AJ18" i="9"/>
  <c r="AW18" i="9" s="1"/>
  <c r="AK18" i="9"/>
  <c r="AX18" i="9" s="1"/>
  <c r="AL18" i="9"/>
  <c r="AY18" i="9" s="1"/>
  <c r="AM18" i="9"/>
  <c r="AZ18" i="9" s="1"/>
  <c r="AG18" i="9"/>
  <c r="AT18" i="9" s="1"/>
  <c r="AO18" i="9"/>
  <c r="BB18" i="9" s="1"/>
  <c r="AI10" i="9"/>
  <c r="AV10" i="9" s="1"/>
  <c r="AJ10" i="9"/>
  <c r="AW10" i="9" s="1"/>
  <c r="AO10" i="9"/>
  <c r="BB10" i="9" s="1"/>
  <c r="AP10" i="9"/>
  <c r="BC10" i="9" s="1"/>
  <c r="AG10" i="9"/>
  <c r="AT10" i="9" s="1"/>
  <c r="AH10" i="9"/>
  <c r="AU10" i="9" s="1"/>
  <c r="AM10" i="9"/>
  <c r="AZ10" i="9" s="1"/>
  <c r="AN10" i="9"/>
  <c r="BA10" i="9" s="1"/>
  <c r="AN83" i="9"/>
  <c r="BA83" i="9" s="1"/>
  <c r="AI74" i="9"/>
  <c r="AV74" i="9" s="1"/>
  <c r="AP67" i="9"/>
  <c r="BC67" i="9" s="1"/>
  <c r="AK58" i="9"/>
  <c r="AX58" i="9" s="1"/>
  <c r="AN81" i="9"/>
  <c r="BA81" i="9" s="1"/>
  <c r="AG81" i="9"/>
  <c r="AT81" i="9" s="1"/>
  <c r="AO81" i="9"/>
  <c r="BB81" i="9" s="1"/>
  <c r="AH81" i="9"/>
  <c r="AU81" i="9" s="1"/>
  <c r="AP81" i="9"/>
  <c r="BC81" i="9" s="1"/>
  <c r="AI81" i="9"/>
  <c r="AV81" i="9" s="1"/>
  <c r="AL81" i="9"/>
  <c r="AY81" i="9" s="1"/>
  <c r="AM81" i="9"/>
  <c r="AZ81" i="9" s="1"/>
  <c r="AG73" i="9"/>
  <c r="AT73" i="9" s="1"/>
  <c r="AO73" i="9"/>
  <c r="BB73" i="9" s="1"/>
  <c r="AH73" i="9"/>
  <c r="AU73" i="9" s="1"/>
  <c r="AP73" i="9"/>
  <c r="BC73" i="9" s="1"/>
  <c r="AI73" i="9"/>
  <c r="AV73" i="9" s="1"/>
  <c r="AJ73" i="9"/>
  <c r="AW73" i="9" s="1"/>
  <c r="AM73" i="9"/>
  <c r="AZ73" i="9" s="1"/>
  <c r="AN73" i="9"/>
  <c r="BA73" i="9" s="1"/>
  <c r="AH65" i="9"/>
  <c r="AU65" i="9" s="1"/>
  <c r="AP65" i="9"/>
  <c r="BC65" i="9" s="1"/>
  <c r="AI65" i="9"/>
  <c r="AV65" i="9" s="1"/>
  <c r="AJ65" i="9"/>
  <c r="AW65" i="9" s="1"/>
  <c r="AK65" i="9"/>
  <c r="AX65" i="9" s="1"/>
  <c r="AN65" i="9"/>
  <c r="BA65" i="9" s="1"/>
  <c r="AG65" i="9"/>
  <c r="AT65" i="9" s="1"/>
  <c r="AO65" i="9"/>
  <c r="BB65" i="9" s="1"/>
  <c r="AI57" i="9"/>
  <c r="AV57" i="9" s="1"/>
  <c r="AJ57" i="9"/>
  <c r="AW57" i="9" s="1"/>
  <c r="AK57" i="9"/>
  <c r="AX57" i="9" s="1"/>
  <c r="AL57" i="9"/>
  <c r="AY57" i="9" s="1"/>
  <c r="AG57" i="9"/>
  <c r="AT57" i="9" s="1"/>
  <c r="AO57" i="9"/>
  <c r="BB57" i="9" s="1"/>
  <c r="AH57" i="9"/>
  <c r="AU57" i="9" s="1"/>
  <c r="AP57" i="9"/>
  <c r="BC57" i="9" s="1"/>
  <c r="AG49" i="9"/>
  <c r="AT49" i="9" s="1"/>
  <c r="AO49" i="9"/>
  <c r="BB49" i="9" s="1"/>
  <c r="AK49" i="9"/>
  <c r="AX49" i="9" s="1"/>
  <c r="AL49" i="9"/>
  <c r="AY49" i="9" s="1"/>
  <c r="AM49" i="9"/>
  <c r="AZ49" i="9" s="1"/>
  <c r="AN49" i="9"/>
  <c r="BA49" i="9" s="1"/>
  <c r="AI49" i="9"/>
  <c r="AV49" i="9" s="1"/>
  <c r="AJ49" i="9"/>
  <c r="AW49" i="9" s="1"/>
  <c r="AH41" i="9"/>
  <c r="AU41" i="9" s="1"/>
  <c r="AP41" i="9"/>
  <c r="BC41" i="9" s="1"/>
  <c r="AJ41" i="9"/>
  <c r="AW41" i="9" s="1"/>
  <c r="AK41" i="9"/>
  <c r="AX41" i="9" s="1"/>
  <c r="AL41" i="9"/>
  <c r="AY41" i="9" s="1"/>
  <c r="AM41" i="9"/>
  <c r="AZ41" i="9" s="1"/>
  <c r="AG41" i="9"/>
  <c r="AT41" i="9" s="1"/>
  <c r="AI41" i="9"/>
  <c r="AV41" i="9" s="1"/>
  <c r="AI33" i="9"/>
  <c r="AV33" i="9" s="1"/>
  <c r="AH33" i="9"/>
  <c r="AU33" i="9" s="1"/>
  <c r="AJ33" i="9"/>
  <c r="AW33" i="9" s="1"/>
  <c r="AK33" i="9"/>
  <c r="AX33" i="9" s="1"/>
  <c r="AL33" i="9"/>
  <c r="AY33" i="9" s="1"/>
  <c r="AO33" i="9"/>
  <c r="BB33" i="9" s="1"/>
  <c r="AG33" i="9"/>
  <c r="AT33" i="9" s="1"/>
  <c r="AP33" i="9"/>
  <c r="BC33" i="9" s="1"/>
  <c r="AG25" i="9"/>
  <c r="AT25" i="9" s="1"/>
  <c r="AO25" i="9"/>
  <c r="BB25" i="9" s="1"/>
  <c r="AI25" i="9"/>
  <c r="AV25" i="9" s="1"/>
  <c r="AJ25" i="9"/>
  <c r="AW25" i="9" s="1"/>
  <c r="AH25" i="9"/>
  <c r="AU25" i="9" s="1"/>
  <c r="AK25" i="9"/>
  <c r="AX25" i="9" s="1"/>
  <c r="AN25" i="9"/>
  <c r="BA25" i="9" s="1"/>
  <c r="AP25" i="9"/>
  <c r="BC25" i="9" s="1"/>
  <c r="AJ17" i="9"/>
  <c r="AW17" i="9" s="1"/>
  <c r="AK17" i="9"/>
  <c r="AX17" i="9" s="1"/>
  <c r="AH17" i="9"/>
  <c r="AU17" i="9" s="1"/>
  <c r="AI17" i="9"/>
  <c r="AV17" i="9" s="1"/>
  <c r="AL17" i="9"/>
  <c r="AY17" i="9" s="1"/>
  <c r="AM17" i="9"/>
  <c r="AZ17" i="9" s="1"/>
  <c r="AG17" i="9"/>
  <c r="AT17" i="9" s="1"/>
  <c r="AN17" i="9"/>
  <c r="BA17" i="9" s="1"/>
  <c r="AO17" i="9"/>
  <c r="BB17" i="9" s="1"/>
  <c r="AK9" i="9"/>
  <c r="AX9" i="9" s="1"/>
  <c r="AL9" i="9"/>
  <c r="AY9" i="9" s="1"/>
  <c r="AO9" i="9"/>
  <c r="BB9" i="9" s="1"/>
  <c r="AP9" i="9"/>
  <c r="BC9" i="9" s="1"/>
  <c r="AG9" i="9"/>
  <c r="AT9" i="9" s="1"/>
  <c r="AH9" i="9"/>
  <c r="AU9" i="9" s="1"/>
  <c r="AM9" i="9"/>
  <c r="AZ9" i="9" s="1"/>
  <c r="AN9" i="9"/>
  <c r="BA9" i="9" s="1"/>
  <c r="AI9" i="9"/>
  <c r="AV9" i="9" s="1"/>
  <c r="AJ9" i="9"/>
  <c r="AW9" i="9" s="1"/>
  <c r="AL73" i="9"/>
  <c r="AY73" i="9" s="1"/>
  <c r="AN57" i="9"/>
  <c r="BA57" i="9" s="1"/>
  <c r="AN43" i="9"/>
  <c r="BA43" i="9" s="1"/>
  <c r="AL10" i="9"/>
  <c r="AY10" i="9" s="1"/>
  <c r="AI80" i="9"/>
  <c r="AV80" i="9" s="1"/>
  <c r="AJ80" i="9"/>
  <c r="AW80" i="9" s="1"/>
  <c r="AK80" i="9"/>
  <c r="AX80" i="9" s="1"/>
  <c r="AL80" i="9"/>
  <c r="AY80" i="9" s="1"/>
  <c r="AG80" i="9"/>
  <c r="AT80" i="9" s="1"/>
  <c r="AO80" i="9"/>
  <c r="BB80" i="9" s="1"/>
  <c r="AH80" i="9"/>
  <c r="AU80" i="9" s="1"/>
  <c r="AP80" i="9"/>
  <c r="BC80" i="9" s="1"/>
  <c r="AJ72" i="9"/>
  <c r="AW72" i="9" s="1"/>
  <c r="AK72" i="9"/>
  <c r="AX72" i="9" s="1"/>
  <c r="AL72" i="9"/>
  <c r="AY72" i="9" s="1"/>
  <c r="AM72" i="9"/>
  <c r="AZ72" i="9" s="1"/>
  <c r="AH72" i="9"/>
  <c r="AU72" i="9" s="1"/>
  <c r="AP72" i="9"/>
  <c r="BC72" i="9" s="1"/>
  <c r="AI72" i="9"/>
  <c r="AV72" i="9" s="1"/>
  <c r="AK64" i="9"/>
  <c r="AX64" i="9" s="1"/>
  <c r="AL64" i="9"/>
  <c r="AY64" i="9" s="1"/>
  <c r="AM64" i="9"/>
  <c r="AZ64" i="9" s="1"/>
  <c r="AN64" i="9"/>
  <c r="BA64" i="9" s="1"/>
  <c r="AI64" i="9"/>
  <c r="AV64" i="9" s="1"/>
  <c r="AJ64" i="9"/>
  <c r="AW64" i="9" s="1"/>
  <c r="AL56" i="9"/>
  <c r="AY56" i="9" s="1"/>
  <c r="AM56" i="9"/>
  <c r="AZ56" i="9" s="1"/>
  <c r="AN56" i="9"/>
  <c r="BA56" i="9" s="1"/>
  <c r="AG56" i="9"/>
  <c r="AT56" i="9" s="1"/>
  <c r="AO56" i="9"/>
  <c r="BB56" i="9" s="1"/>
  <c r="AJ56" i="9"/>
  <c r="AW56" i="9" s="1"/>
  <c r="AK56" i="9"/>
  <c r="AX56" i="9" s="1"/>
  <c r="AP82" i="9"/>
  <c r="BC82" i="9" s="1"/>
  <c r="AK73" i="9"/>
  <c r="AX73" i="9" s="1"/>
  <c r="AH67" i="9"/>
  <c r="AU67" i="9" s="1"/>
  <c r="AG64" i="9"/>
  <c r="AM57" i="9"/>
  <c r="AZ57" i="9" s="1"/>
  <c r="AO50" i="9"/>
  <c r="BB50" i="9" s="1"/>
  <c r="AK10" i="9"/>
  <c r="AX10" i="9" s="1"/>
  <c r="AM53" i="9"/>
  <c r="AZ53" i="9" s="1"/>
  <c r="AG50" i="9"/>
  <c r="AT50" i="9" s="1"/>
  <c r="AK46" i="9"/>
  <c r="AX46" i="9" s="1"/>
  <c r="AO42" i="9"/>
  <c r="BB42" i="9" s="1"/>
  <c r="AI39" i="9"/>
  <c r="AV39" i="9" s="1"/>
  <c r="AL35" i="9"/>
  <c r="AY35" i="9" s="1"/>
  <c r="AO31" i="9"/>
  <c r="BB31" i="9" s="1"/>
  <c r="AI6" i="9"/>
  <c r="AV6" i="9" s="1"/>
  <c r="AK79" i="9"/>
  <c r="AX79" i="9" s="1"/>
  <c r="AL79" i="9"/>
  <c r="AY79" i="9" s="1"/>
  <c r="AN79" i="9"/>
  <c r="BA79" i="9" s="1"/>
  <c r="AJ79" i="9"/>
  <c r="AW79" i="9" s="1"/>
  <c r="AM78" i="9"/>
  <c r="AZ78" i="9" s="1"/>
  <c r="AN78" i="9"/>
  <c r="BA78" i="9" s="1"/>
  <c r="AG78" i="9"/>
  <c r="AT78" i="9" s="1"/>
  <c r="AO78" i="9"/>
  <c r="BB78" i="9" s="1"/>
  <c r="AH78" i="9"/>
  <c r="AU78" i="9" s="1"/>
  <c r="AP78" i="9"/>
  <c r="BC78" i="9" s="1"/>
  <c r="AK78" i="9"/>
  <c r="AX78" i="9" s="1"/>
  <c r="AL78" i="9"/>
  <c r="AY78" i="9" s="1"/>
  <c r="AN70" i="9"/>
  <c r="BA70" i="9" s="1"/>
  <c r="AG70" i="9"/>
  <c r="AT70" i="9" s="1"/>
  <c r="AO70" i="9"/>
  <c r="BB70" i="9" s="1"/>
  <c r="AH70" i="9"/>
  <c r="AU70" i="9" s="1"/>
  <c r="AP70" i="9"/>
  <c r="BC70" i="9" s="1"/>
  <c r="AI70" i="9"/>
  <c r="AV70" i="9" s="1"/>
  <c r="AL70" i="9"/>
  <c r="AY70" i="9" s="1"/>
  <c r="AM70" i="9"/>
  <c r="AZ70" i="9" s="1"/>
  <c r="AG62" i="9"/>
  <c r="AT62" i="9" s="1"/>
  <c r="AO62" i="9"/>
  <c r="BB62" i="9" s="1"/>
  <c r="AH62" i="9"/>
  <c r="AU62" i="9" s="1"/>
  <c r="AP62" i="9"/>
  <c r="BC62" i="9" s="1"/>
  <c r="AI62" i="9"/>
  <c r="AV62" i="9" s="1"/>
  <c r="AJ62" i="9"/>
  <c r="AW62" i="9" s="1"/>
  <c r="AM62" i="9"/>
  <c r="AZ62" i="9" s="1"/>
  <c r="AN62" i="9"/>
  <c r="BA62" i="9" s="1"/>
  <c r="AM54" i="9"/>
  <c r="AZ54" i="9" s="1"/>
  <c r="AG54" i="9"/>
  <c r="AT54" i="9" s="1"/>
  <c r="AP54" i="9"/>
  <c r="BC54" i="9" s="1"/>
  <c r="AH54" i="9"/>
  <c r="AU54" i="9" s="1"/>
  <c r="AI54" i="9"/>
  <c r="AV54" i="9" s="1"/>
  <c r="AJ54" i="9"/>
  <c r="AW54" i="9" s="1"/>
  <c r="AN54" i="9"/>
  <c r="BA54" i="9" s="1"/>
  <c r="AO54" i="9"/>
  <c r="BB54" i="9" s="1"/>
  <c r="AH46" i="9"/>
  <c r="AU46" i="9" s="1"/>
  <c r="AP38" i="9"/>
  <c r="BC38" i="9" s="1"/>
  <c r="AJ30" i="9"/>
  <c r="AW30" i="9" s="1"/>
  <c r="AG22" i="9"/>
  <c r="AT22" i="9" s="1"/>
  <c r="AH82" i="9"/>
  <c r="AU82" i="9" s="1"/>
  <c r="AG79" i="9"/>
  <c r="AT79" i="9" s="1"/>
  <c r="AO75" i="9"/>
  <c r="BB75" i="9" s="1"/>
  <c r="AN72" i="9"/>
  <c r="BA72" i="9" s="1"/>
  <c r="AJ66" i="9"/>
  <c r="AW66" i="9" s="1"/>
  <c r="AP56" i="9"/>
  <c r="BC56" i="9" s="1"/>
  <c r="AP49" i="9"/>
  <c r="BC49" i="9" s="1"/>
  <c r="AM42" i="9"/>
  <c r="AZ42" i="9" s="1"/>
  <c r="AN26" i="9"/>
  <c r="BA26" i="9" s="1"/>
  <c r="AG77" i="9"/>
  <c r="AT77" i="9" s="1"/>
  <c r="AO77" i="9"/>
  <c r="BB77" i="9" s="1"/>
  <c r="AH77" i="9"/>
  <c r="AU77" i="9" s="1"/>
  <c r="AP77" i="9"/>
  <c r="BC77" i="9" s="1"/>
  <c r="AI77" i="9"/>
  <c r="AV77" i="9" s="1"/>
  <c r="AJ77" i="9"/>
  <c r="AW77" i="9" s="1"/>
  <c r="AM77" i="9"/>
  <c r="AZ77" i="9" s="1"/>
  <c r="AN77" i="9"/>
  <c r="BA77" i="9" s="1"/>
  <c r="AH69" i="9"/>
  <c r="AU69" i="9" s="1"/>
  <c r="AP69" i="9"/>
  <c r="BC69" i="9" s="1"/>
  <c r="AI69" i="9"/>
  <c r="AV69" i="9" s="1"/>
  <c r="AJ69" i="9"/>
  <c r="AW69" i="9" s="1"/>
  <c r="AK69" i="9"/>
  <c r="AX69" i="9" s="1"/>
  <c r="AN69" i="9"/>
  <c r="BA69" i="9" s="1"/>
  <c r="AG69" i="9"/>
  <c r="AT69" i="9" s="1"/>
  <c r="AO69" i="9"/>
  <c r="BB69" i="9" s="1"/>
  <c r="AI61" i="9"/>
  <c r="AV61" i="9" s="1"/>
  <c r="AJ61" i="9"/>
  <c r="AW61" i="9" s="1"/>
  <c r="AK61" i="9"/>
  <c r="AX61" i="9" s="1"/>
  <c r="AL61" i="9"/>
  <c r="AY61" i="9" s="1"/>
  <c r="AG61" i="9"/>
  <c r="AT61" i="9" s="1"/>
  <c r="AO61" i="9"/>
  <c r="BB61" i="9" s="1"/>
  <c r="AH61" i="9"/>
  <c r="AU61" i="9" s="1"/>
  <c r="AP61" i="9"/>
  <c r="BC61" i="9" s="1"/>
  <c r="AG53" i="9"/>
  <c r="AT53" i="9" s="1"/>
  <c r="AO53" i="9"/>
  <c r="BB53" i="9" s="1"/>
  <c r="AH53" i="9"/>
  <c r="AU53" i="9" s="1"/>
  <c r="AI53" i="9"/>
  <c r="AV53" i="9" s="1"/>
  <c r="AJ53" i="9"/>
  <c r="AW53" i="9" s="1"/>
  <c r="AK53" i="9"/>
  <c r="AX53" i="9" s="1"/>
  <c r="AN53" i="9"/>
  <c r="BA53" i="9" s="1"/>
  <c r="AP53" i="9"/>
  <c r="BC53" i="9" s="1"/>
  <c r="AH45" i="9"/>
  <c r="AU45" i="9" s="1"/>
  <c r="AP45" i="9"/>
  <c r="BC45" i="9" s="1"/>
  <c r="AO45" i="9"/>
  <c r="BB45" i="9" s="1"/>
  <c r="AG45" i="9"/>
  <c r="AT45" i="9" s="1"/>
  <c r="AI45" i="9"/>
  <c r="AV45" i="9" s="1"/>
  <c r="AJ45" i="9"/>
  <c r="AW45" i="9" s="1"/>
  <c r="AM45" i="9"/>
  <c r="AZ45" i="9" s="1"/>
  <c r="AN45" i="9"/>
  <c r="BA45" i="9" s="1"/>
  <c r="AI37" i="9"/>
  <c r="AV37" i="9" s="1"/>
  <c r="AN37" i="9"/>
  <c r="BA37" i="9" s="1"/>
  <c r="AO37" i="9"/>
  <c r="BB37" i="9" s="1"/>
  <c r="AG37" i="9"/>
  <c r="AT37" i="9" s="1"/>
  <c r="AP37" i="9"/>
  <c r="BC37" i="9" s="1"/>
  <c r="AH37" i="9"/>
  <c r="AU37" i="9" s="1"/>
  <c r="AL37" i="9"/>
  <c r="AY37" i="9" s="1"/>
  <c r="AM37" i="9"/>
  <c r="AZ37" i="9" s="1"/>
  <c r="AG29" i="9"/>
  <c r="AT29" i="9" s="1"/>
  <c r="AO29" i="9"/>
  <c r="BB29" i="9" s="1"/>
  <c r="AI29" i="9"/>
  <c r="AV29" i="9" s="1"/>
  <c r="AJ29" i="9"/>
  <c r="AW29" i="9" s="1"/>
  <c r="AP29" i="9"/>
  <c r="BC29" i="9" s="1"/>
  <c r="AH29" i="9"/>
  <c r="AU29" i="9" s="1"/>
  <c r="AM29" i="9"/>
  <c r="AZ29" i="9" s="1"/>
  <c r="AN29" i="9"/>
  <c r="BA29" i="9" s="1"/>
  <c r="AH21" i="9"/>
  <c r="AU21" i="9" s="1"/>
  <c r="AP21" i="9"/>
  <c r="BC21" i="9" s="1"/>
  <c r="AJ21" i="9"/>
  <c r="AW21" i="9" s="1"/>
  <c r="AK21" i="9"/>
  <c r="AX21" i="9" s="1"/>
  <c r="AG21" i="9"/>
  <c r="AT21" i="9" s="1"/>
  <c r="AO21" i="9"/>
  <c r="BB21" i="9" s="1"/>
  <c r="AM21" i="9"/>
  <c r="AZ21" i="9" s="1"/>
  <c r="AN21" i="9"/>
  <c r="BA21" i="9" s="1"/>
  <c r="AI21" i="9"/>
  <c r="AV21" i="9" s="1"/>
  <c r="AL21" i="9"/>
  <c r="AY21" i="9" s="1"/>
  <c r="AM13" i="9"/>
  <c r="AZ13" i="9" s="1"/>
  <c r="AK81" i="9"/>
  <c r="AX81" i="9" s="1"/>
  <c r="AJ78" i="9"/>
  <c r="AW78" i="9" s="1"/>
  <c r="AH75" i="9"/>
  <c r="AU75" i="9" s="1"/>
  <c r="AG72" i="9"/>
  <c r="AT72" i="9" s="1"/>
  <c r="AM65" i="9"/>
  <c r="AZ65" i="9" s="1"/>
  <c r="AL62" i="9"/>
  <c r="AY62" i="9" s="1"/>
  <c r="AJ59" i="9"/>
  <c r="AW59" i="9" s="1"/>
  <c r="AI56" i="9"/>
  <c r="AV56" i="9" s="1"/>
  <c r="AH49" i="9"/>
  <c r="AU49" i="9" s="1"/>
  <c r="AL45" i="9"/>
  <c r="AY45" i="9" s="1"/>
  <c r="AO41" i="9"/>
  <c r="BB41" i="9" s="1"/>
  <c r="AJ38" i="9"/>
  <c r="AW38" i="9" s="1"/>
  <c r="AM34" i="9"/>
  <c r="AZ34" i="9" s="1"/>
  <c r="AN30" i="9"/>
  <c r="BA30" i="9" s="1"/>
  <c r="AM25" i="9"/>
  <c r="AZ25" i="9" s="1"/>
  <c r="AN18" i="9"/>
  <c r="BA18" i="9" s="1"/>
  <c r="AH84" i="9"/>
  <c r="AU84" i="9" s="1"/>
  <c r="AP84" i="9"/>
  <c r="BC84" i="9" s="1"/>
  <c r="AI84" i="9"/>
  <c r="AV84" i="9" s="1"/>
  <c r="AJ84" i="9"/>
  <c r="AW84" i="9" s="1"/>
  <c r="AK84" i="9"/>
  <c r="AX84" i="9" s="1"/>
  <c r="AN84" i="9"/>
  <c r="BA84" i="9" s="1"/>
  <c r="AG84" i="9"/>
  <c r="AT84" i="9" s="1"/>
  <c r="AO84" i="9"/>
  <c r="BB84" i="9" s="1"/>
  <c r="AI76" i="9"/>
  <c r="AV76" i="9" s="1"/>
  <c r="AJ76" i="9"/>
  <c r="AW76" i="9" s="1"/>
  <c r="AK76" i="9"/>
  <c r="AX76" i="9" s="1"/>
  <c r="AL76" i="9"/>
  <c r="AY76" i="9" s="1"/>
  <c r="AG76" i="9"/>
  <c r="AT76" i="9" s="1"/>
  <c r="AO76" i="9"/>
  <c r="BB76" i="9" s="1"/>
  <c r="AH76" i="9"/>
  <c r="AU76" i="9" s="1"/>
  <c r="AP76" i="9"/>
  <c r="BC76" i="9" s="1"/>
  <c r="AJ68" i="9"/>
  <c r="AW68" i="9" s="1"/>
  <c r="AK68" i="9"/>
  <c r="AX68" i="9" s="1"/>
  <c r="AL68" i="9"/>
  <c r="AY68" i="9" s="1"/>
  <c r="AM68" i="9"/>
  <c r="AZ68" i="9" s="1"/>
  <c r="AH68" i="9"/>
  <c r="AU68" i="9" s="1"/>
  <c r="AP68" i="9"/>
  <c r="BC68" i="9" s="1"/>
  <c r="AI68" i="9"/>
  <c r="AV68" i="9" s="1"/>
  <c r="AK60" i="9"/>
  <c r="AX60" i="9" s="1"/>
  <c r="AL60" i="9"/>
  <c r="AY60" i="9" s="1"/>
  <c r="AM60" i="9"/>
  <c r="AZ60" i="9" s="1"/>
  <c r="AN60" i="9"/>
  <c r="BA60" i="9" s="1"/>
  <c r="AI60" i="9"/>
  <c r="AV60" i="9" s="1"/>
  <c r="AJ60" i="9"/>
  <c r="AW60" i="9" s="1"/>
  <c r="AI52" i="9"/>
  <c r="AV52" i="9" s="1"/>
  <c r="AH52" i="9"/>
  <c r="AU52" i="9" s="1"/>
  <c r="AJ52" i="9"/>
  <c r="AW52" i="9" s="1"/>
  <c r="AK52" i="9"/>
  <c r="AX52" i="9" s="1"/>
  <c r="AL52" i="9"/>
  <c r="AY52" i="9" s="1"/>
  <c r="AO52" i="9"/>
  <c r="BB52" i="9" s="1"/>
  <c r="AG52" i="9"/>
  <c r="AT52" i="9" s="1"/>
  <c r="AP52" i="9"/>
  <c r="BC52" i="9" s="1"/>
  <c r="AL84" i="9"/>
  <c r="AY84" i="9" s="1"/>
  <c r="AJ81" i="9"/>
  <c r="AW81" i="9" s="1"/>
  <c r="AI78" i="9"/>
  <c r="AV78" i="9" s="1"/>
  <c r="AG75" i="9"/>
  <c r="AT75" i="9" s="1"/>
  <c r="AP71" i="9"/>
  <c r="BC71" i="9" s="1"/>
  <c r="AN68" i="9"/>
  <c r="BA68" i="9" s="1"/>
  <c r="AL65" i="9"/>
  <c r="AY65" i="9" s="1"/>
  <c r="AK62" i="9"/>
  <c r="AX62" i="9" s="1"/>
  <c r="AH56" i="9"/>
  <c r="AU56" i="9" s="1"/>
  <c r="AM52" i="9"/>
  <c r="AZ52" i="9" s="1"/>
  <c r="AK45" i="9"/>
  <c r="AX45" i="9" s="1"/>
  <c r="AN41" i="9"/>
  <c r="BA41" i="9" s="1"/>
  <c r="AL34" i="9"/>
  <c r="AY34" i="9" s="1"/>
  <c r="AL25" i="9"/>
  <c r="AY25" i="9" s="1"/>
  <c r="AP17" i="9"/>
  <c r="BC17" i="9" s="1"/>
  <c r="AI28" i="9"/>
  <c r="AV28" i="9" s="1"/>
  <c r="AK28" i="9"/>
  <c r="AX28" i="9" s="1"/>
  <c r="AL28" i="9"/>
  <c r="AY28" i="9" s="1"/>
  <c r="AJ20" i="9"/>
  <c r="AW20" i="9" s="1"/>
  <c r="AK20" i="9"/>
  <c r="AX20" i="9" s="1"/>
  <c r="AL20" i="9"/>
  <c r="AY20" i="9" s="1"/>
  <c r="AM20" i="9"/>
  <c r="AZ20" i="9" s="1"/>
  <c r="AI20" i="9"/>
  <c r="AV20" i="9" s="1"/>
  <c r="AM12" i="9"/>
  <c r="AZ12" i="9" s="1"/>
  <c r="AN12" i="9"/>
  <c r="BA12" i="9" s="1"/>
  <c r="AG12" i="9"/>
  <c r="AT12" i="9" s="1"/>
  <c r="AH12" i="9"/>
  <c r="AU12" i="9" s="1"/>
  <c r="AI12" i="9"/>
  <c r="AV12" i="9" s="1"/>
  <c r="AJ12" i="9"/>
  <c r="AW12" i="9" s="1"/>
  <c r="AO12" i="9"/>
  <c r="BB12" i="9" s="1"/>
  <c r="AP12" i="9"/>
  <c r="BC12" i="9" s="1"/>
  <c r="AK71" i="9"/>
  <c r="AX71" i="9" s="1"/>
  <c r="AK67" i="9"/>
  <c r="AX67" i="9" s="1"/>
  <c r="AL63" i="9"/>
  <c r="AY63" i="9" s="1"/>
  <c r="AL59" i="9"/>
  <c r="AY59" i="9" s="1"/>
  <c r="AM55" i="9"/>
  <c r="AZ55" i="9" s="1"/>
  <c r="AL48" i="9"/>
  <c r="AY48" i="9" s="1"/>
  <c r="AM47" i="9"/>
  <c r="AZ47" i="9" s="1"/>
  <c r="AM46" i="9"/>
  <c r="AZ46" i="9" s="1"/>
  <c r="AO44" i="9"/>
  <c r="BB44" i="9" s="1"/>
  <c r="AP43" i="9"/>
  <c r="BC43" i="9" s="1"/>
  <c r="AJ40" i="9"/>
  <c r="AW40" i="9" s="1"/>
  <c r="AK39" i="9"/>
  <c r="AX39" i="9" s="1"/>
  <c r="AL38" i="9"/>
  <c r="AY38" i="9" s="1"/>
  <c r="AN36" i="9"/>
  <c r="BA36" i="9" s="1"/>
  <c r="AG32" i="9"/>
  <c r="AT32" i="9" s="1"/>
  <c r="AG31" i="9"/>
  <c r="AT31" i="9" s="1"/>
  <c r="AM28" i="9"/>
  <c r="AZ28" i="9" s="1"/>
  <c r="AN24" i="9"/>
  <c r="BA24" i="9" s="1"/>
  <c r="AH23" i="9"/>
  <c r="AU23" i="9" s="1"/>
  <c r="AN15" i="9"/>
  <c r="BA15" i="9" s="1"/>
  <c r="AK7" i="9"/>
  <c r="AX7" i="9" s="1"/>
  <c r="AK51" i="9"/>
  <c r="AX51" i="9" s="1"/>
  <c r="AL43" i="9"/>
  <c r="AY43" i="9" s="1"/>
  <c r="AM35" i="9"/>
  <c r="AZ35" i="9" s="1"/>
  <c r="AK27" i="9"/>
  <c r="AX27" i="9" s="1"/>
  <c r="AM27" i="9"/>
  <c r="AZ27" i="9" s="1"/>
  <c r="AN27" i="9"/>
  <c r="BA27" i="9" s="1"/>
  <c r="AN19" i="9"/>
  <c r="BA19" i="9" s="1"/>
  <c r="AG19" i="9"/>
  <c r="AT19" i="9" s="1"/>
  <c r="AO19" i="9"/>
  <c r="BB19" i="9" s="1"/>
  <c r="AJ19" i="9"/>
  <c r="AW19" i="9" s="1"/>
  <c r="AK19" i="9"/>
  <c r="AX19" i="9" s="1"/>
  <c r="AL19" i="9"/>
  <c r="AY19" i="9" s="1"/>
  <c r="AM19" i="9"/>
  <c r="AZ19" i="9" s="1"/>
  <c r="AI19" i="9"/>
  <c r="AV19" i="9" s="1"/>
  <c r="AG11" i="9"/>
  <c r="AT11" i="9" s="1"/>
  <c r="AO11" i="9"/>
  <c r="BB11" i="9" s="1"/>
  <c r="AH11" i="9"/>
  <c r="AU11" i="9" s="1"/>
  <c r="AP11" i="9"/>
  <c r="BC11" i="9" s="1"/>
  <c r="AI11" i="9"/>
  <c r="AV11" i="9" s="1"/>
  <c r="AJ11" i="9"/>
  <c r="AW11" i="9" s="1"/>
  <c r="AM11" i="9"/>
  <c r="AZ11" i="9" s="1"/>
  <c r="AN11" i="9"/>
  <c r="BA11" i="9" s="1"/>
  <c r="AP83" i="9"/>
  <c r="BC83" i="9" s="1"/>
  <c r="AH83" i="9"/>
  <c r="AU83" i="9" s="1"/>
  <c r="AI79" i="9"/>
  <c r="AV79" i="9" s="1"/>
  <c r="AI75" i="9"/>
  <c r="AV75" i="9" s="1"/>
  <c r="AJ71" i="9"/>
  <c r="AW71" i="9" s="1"/>
  <c r="AJ67" i="9"/>
  <c r="AW67" i="9" s="1"/>
  <c r="AK63" i="9"/>
  <c r="AX63" i="9" s="1"/>
  <c r="AK59" i="9"/>
  <c r="AX59" i="9" s="1"/>
  <c r="AL55" i="9"/>
  <c r="AY55" i="9" s="1"/>
  <c r="AP51" i="9"/>
  <c r="BC51" i="9" s="1"/>
  <c r="AG51" i="9"/>
  <c r="AT51" i="9" s="1"/>
  <c r="AK48" i="9"/>
  <c r="AX48" i="9" s="1"/>
  <c r="AK47" i="9"/>
  <c r="AX47" i="9" s="1"/>
  <c r="AL46" i="9"/>
  <c r="AY46" i="9" s="1"/>
  <c r="AN44" i="9"/>
  <c r="BA44" i="9" s="1"/>
  <c r="AO43" i="9"/>
  <c r="BB43" i="9" s="1"/>
  <c r="AI40" i="9"/>
  <c r="AV40" i="9" s="1"/>
  <c r="AJ39" i="9"/>
  <c r="AW39" i="9" s="1"/>
  <c r="AK38" i="9"/>
  <c r="AX38" i="9" s="1"/>
  <c r="AM36" i="9"/>
  <c r="AZ36" i="9" s="1"/>
  <c r="AN35" i="9"/>
  <c r="BA35" i="9" s="1"/>
  <c r="AP31" i="9"/>
  <c r="BC31" i="9" s="1"/>
  <c r="AO30" i="9"/>
  <c r="BB30" i="9" s="1"/>
  <c r="AJ28" i="9"/>
  <c r="AW28" i="9" s="1"/>
  <c r="AH27" i="9"/>
  <c r="AU27" i="9" s="1"/>
  <c r="AO22" i="9"/>
  <c r="BB22" i="9" s="1"/>
  <c r="AK11" i="9"/>
  <c r="AX11" i="9" s="1"/>
  <c r="AI32" i="9"/>
  <c r="AV32" i="9" s="1"/>
  <c r="AL32" i="9"/>
  <c r="AY32" i="9" s="1"/>
  <c r="AJ24" i="9"/>
  <c r="AW24" i="9" s="1"/>
  <c r="AL24" i="9"/>
  <c r="AY24" i="9" s="1"/>
  <c r="AM24" i="9"/>
  <c r="AZ24" i="9" s="1"/>
  <c r="AI24" i="9"/>
  <c r="AV24" i="9" s="1"/>
  <c r="AM16" i="9"/>
  <c r="AZ16" i="9" s="1"/>
  <c r="AN16" i="9"/>
  <c r="BA16" i="9" s="1"/>
  <c r="AI16" i="9"/>
  <c r="AV16" i="9" s="1"/>
  <c r="AJ16" i="9"/>
  <c r="AW16" i="9" s="1"/>
  <c r="AK16" i="9"/>
  <c r="AX16" i="9" s="1"/>
  <c r="AL16" i="9"/>
  <c r="AY16" i="9" s="1"/>
  <c r="AG16" i="9"/>
  <c r="AT16" i="9" s="1"/>
  <c r="AH16" i="9"/>
  <c r="AU16" i="9" s="1"/>
  <c r="AN8" i="9"/>
  <c r="BA8" i="9" s="1"/>
  <c r="AG8" i="9"/>
  <c r="AT8" i="9" s="1"/>
  <c r="AO8" i="9"/>
  <c r="BB8" i="9" s="1"/>
  <c r="AP8" i="9"/>
  <c r="BC8" i="9" s="1"/>
  <c r="AH8" i="9"/>
  <c r="AU8" i="9" s="1"/>
  <c r="AI8" i="9"/>
  <c r="AV8" i="9" s="1"/>
  <c r="AL8" i="9"/>
  <c r="AY8" i="9" s="1"/>
  <c r="AM8" i="9"/>
  <c r="AZ8" i="9" s="1"/>
  <c r="AO71" i="9"/>
  <c r="BB71" i="9" s="1"/>
  <c r="AG71" i="9"/>
  <c r="AT71" i="9" s="1"/>
  <c r="AO67" i="9"/>
  <c r="BB67" i="9" s="1"/>
  <c r="AG67" i="9"/>
  <c r="AT67" i="9" s="1"/>
  <c r="AP63" i="9"/>
  <c r="BC63" i="9" s="1"/>
  <c r="AH63" i="9"/>
  <c r="AU63" i="9" s="1"/>
  <c r="AP59" i="9"/>
  <c r="BC59" i="9" s="1"/>
  <c r="AH59" i="9"/>
  <c r="AU59" i="9" s="1"/>
  <c r="AI55" i="9"/>
  <c r="AV55" i="9" s="1"/>
  <c r="AM51" i="9"/>
  <c r="AZ51" i="9" s="1"/>
  <c r="AP48" i="9"/>
  <c r="BC48" i="9" s="1"/>
  <c r="AG48" i="9"/>
  <c r="AT48" i="9" s="1"/>
  <c r="AI46" i="9"/>
  <c r="AV46" i="9" s="1"/>
  <c r="AK44" i="9"/>
  <c r="AX44" i="9" s="1"/>
  <c r="AK43" i="9"/>
  <c r="AX43" i="9" s="1"/>
  <c r="AO40" i="9"/>
  <c r="BB40" i="9" s="1"/>
  <c r="AP39" i="9"/>
  <c r="BC39" i="9" s="1"/>
  <c r="AH38" i="9"/>
  <c r="AU38" i="9" s="1"/>
  <c r="AI36" i="9"/>
  <c r="AV36" i="9" s="1"/>
  <c r="AJ35" i="9"/>
  <c r="AW35" i="9" s="1"/>
  <c r="AM32" i="9"/>
  <c r="AZ32" i="9" s="1"/>
  <c r="AK30" i="9"/>
  <c r="AX30" i="9" s="1"/>
  <c r="AP27" i="9"/>
  <c r="BC27" i="9" s="1"/>
  <c r="AJ22" i="9"/>
  <c r="AW22" i="9" s="1"/>
  <c r="AN20" i="9"/>
  <c r="BA20" i="9" s="1"/>
  <c r="AN13" i="9"/>
  <c r="BA13" i="9" s="1"/>
  <c r="AL47" i="9"/>
  <c r="AY47" i="9" s="1"/>
  <c r="AM39" i="9"/>
  <c r="AZ39" i="9" s="1"/>
  <c r="AK31" i="9"/>
  <c r="AX31" i="9" s="1"/>
  <c r="AN31" i="9"/>
  <c r="BA31" i="9" s="1"/>
  <c r="AL23" i="9"/>
  <c r="AY23" i="9" s="1"/>
  <c r="AN23" i="9"/>
  <c r="BA23" i="9" s="1"/>
  <c r="AG23" i="9"/>
  <c r="AT23" i="9" s="1"/>
  <c r="AO23" i="9"/>
  <c r="BB23" i="9" s="1"/>
  <c r="AK23" i="9"/>
  <c r="AX23" i="9" s="1"/>
  <c r="AG15" i="9"/>
  <c r="AT15" i="9" s="1"/>
  <c r="AO15" i="9"/>
  <c r="BB15" i="9" s="1"/>
  <c r="AH15" i="9"/>
  <c r="AU15" i="9" s="1"/>
  <c r="AP15" i="9"/>
  <c r="BC15" i="9" s="1"/>
  <c r="AI15" i="9"/>
  <c r="AV15" i="9" s="1"/>
  <c r="AJ15" i="9"/>
  <c r="AW15" i="9" s="1"/>
  <c r="AK15" i="9"/>
  <c r="AX15" i="9" s="1"/>
  <c r="AL15" i="9"/>
  <c r="AY15" i="9" s="1"/>
  <c r="AH7" i="9"/>
  <c r="AU7" i="9" s="1"/>
  <c r="AP7" i="9"/>
  <c r="BC7" i="9" s="1"/>
  <c r="AI7" i="9"/>
  <c r="AV7" i="9" s="1"/>
  <c r="AN7" i="9"/>
  <c r="BA7" i="9" s="1"/>
  <c r="AO7" i="9"/>
  <c r="BB7" i="9" s="1"/>
  <c r="AG7" i="9"/>
  <c r="AT7" i="9" s="1"/>
  <c r="AL7" i="9"/>
  <c r="AY7" i="9" s="1"/>
  <c r="AM7" i="9"/>
  <c r="AZ7" i="9" s="1"/>
  <c r="AN71" i="9"/>
  <c r="BA71" i="9" s="1"/>
  <c r="AN67" i="9"/>
  <c r="BA67" i="9" s="1"/>
  <c r="AO63" i="9"/>
  <c r="BB63" i="9" s="1"/>
  <c r="AG63" i="9"/>
  <c r="AT63" i="9" s="1"/>
  <c r="AO59" i="9"/>
  <c r="BB59" i="9" s="1"/>
  <c r="AG59" i="9"/>
  <c r="AT59" i="9" s="1"/>
  <c r="AP55" i="9"/>
  <c r="BC55" i="9" s="1"/>
  <c r="AH55" i="9"/>
  <c r="AU55" i="9" s="1"/>
  <c r="AL51" i="9"/>
  <c r="AY51" i="9" s="1"/>
  <c r="AO48" i="9"/>
  <c r="BB48" i="9" s="1"/>
  <c r="AP47" i="9"/>
  <c r="BC47" i="9" s="1"/>
  <c r="AG47" i="9"/>
  <c r="AT47" i="9" s="1"/>
  <c r="AI44" i="9"/>
  <c r="AV44" i="9" s="1"/>
  <c r="AQ44" i="9" s="1"/>
  <c r="AJ43" i="9"/>
  <c r="AW43" i="9" s="1"/>
  <c r="AN40" i="9"/>
  <c r="BA40" i="9" s="1"/>
  <c r="AO39" i="9"/>
  <c r="BB39" i="9" s="1"/>
  <c r="AH36" i="9"/>
  <c r="AU36" i="9" s="1"/>
  <c r="AI35" i="9"/>
  <c r="AV35" i="9" s="1"/>
  <c r="AK32" i="9"/>
  <c r="AX32" i="9" s="1"/>
  <c r="AJ31" i="9"/>
  <c r="AW31" i="9" s="1"/>
  <c r="AP28" i="9"/>
  <c r="BC28" i="9" s="1"/>
  <c r="AO27" i="9"/>
  <c r="BB27" i="9" s="1"/>
  <c r="AM23" i="9"/>
  <c r="AZ23" i="9" s="1"/>
  <c r="AH20" i="9"/>
  <c r="AU20" i="9" s="1"/>
  <c r="AN46" i="9"/>
  <c r="BA46" i="9" s="1"/>
  <c r="AG38" i="9"/>
  <c r="AT38" i="9" s="1"/>
  <c r="AO38" i="9"/>
  <c r="BB38" i="9" s="1"/>
  <c r="AM30" i="9"/>
  <c r="AZ30" i="9" s="1"/>
  <c r="AG30" i="9"/>
  <c r="AT30" i="9" s="1"/>
  <c r="AH30" i="9"/>
  <c r="AU30" i="9" s="1"/>
  <c r="AP30" i="9"/>
  <c r="BC30" i="9" s="1"/>
  <c r="AN22" i="9"/>
  <c r="BA22" i="9" s="1"/>
  <c r="AH22" i="9"/>
  <c r="AU22" i="9" s="1"/>
  <c r="AP22" i="9"/>
  <c r="BC22" i="9" s="1"/>
  <c r="AI22" i="9"/>
  <c r="AV22" i="9" s="1"/>
  <c r="AM22" i="9"/>
  <c r="AZ22" i="9" s="1"/>
  <c r="AI14" i="9"/>
  <c r="AV14" i="9" s="1"/>
  <c r="AJ14" i="9"/>
  <c r="AW14" i="9" s="1"/>
  <c r="AG14" i="9"/>
  <c r="AT14" i="9" s="1"/>
  <c r="AH14" i="9"/>
  <c r="AU14" i="9" s="1"/>
  <c r="AK14" i="9"/>
  <c r="AX14" i="9" s="1"/>
  <c r="AL14" i="9"/>
  <c r="AY14" i="9" s="1"/>
  <c r="AO14" i="9"/>
  <c r="BB14" i="9" s="1"/>
  <c r="AP14" i="9"/>
  <c r="BC14" i="9" s="1"/>
  <c r="AJ6" i="9"/>
  <c r="AW6" i="9" s="1"/>
  <c r="AK6" i="9"/>
  <c r="AX6" i="9" s="1"/>
  <c r="AN6" i="9"/>
  <c r="BA6" i="9" s="1"/>
  <c r="AO6" i="9"/>
  <c r="BB6" i="9" s="1"/>
  <c r="AP6" i="9"/>
  <c r="BC6" i="9" s="1"/>
  <c r="AG6" i="9"/>
  <c r="AT6" i="9" s="1"/>
  <c r="AL6" i="9"/>
  <c r="AY6" i="9" s="1"/>
  <c r="AM6" i="9"/>
  <c r="AZ6" i="9" s="1"/>
  <c r="AN63" i="9"/>
  <c r="BA63" i="9" s="1"/>
  <c r="AN59" i="9"/>
  <c r="BA59" i="9" s="1"/>
  <c r="AO55" i="9"/>
  <c r="BB55" i="9" s="1"/>
  <c r="AG55" i="9"/>
  <c r="AT55" i="9" s="1"/>
  <c r="AJ51" i="9"/>
  <c r="AW51" i="9" s="1"/>
  <c r="AN48" i="9"/>
  <c r="BA48" i="9" s="1"/>
  <c r="AO47" i="9"/>
  <c r="BB47" i="9" s="1"/>
  <c r="AP46" i="9"/>
  <c r="BC46" i="9" s="1"/>
  <c r="AG46" i="9"/>
  <c r="AT46" i="9" s="1"/>
  <c r="AH44" i="9"/>
  <c r="AU44" i="9" s="1"/>
  <c r="AI43" i="9"/>
  <c r="AV43" i="9" s="1"/>
  <c r="AM40" i="9"/>
  <c r="AZ40" i="9" s="1"/>
  <c r="AN39" i="9"/>
  <c r="BA39" i="9" s="1"/>
  <c r="AN38" i="9"/>
  <c r="BA38" i="9" s="1"/>
  <c r="AP36" i="9"/>
  <c r="BC36" i="9" s="1"/>
  <c r="AG36" i="9"/>
  <c r="AT36" i="9" s="1"/>
  <c r="AQ36" i="9" s="1"/>
  <c r="AH35" i="9"/>
  <c r="AU35" i="9" s="1"/>
  <c r="AJ32" i="9"/>
  <c r="AW32" i="9" s="1"/>
  <c r="AI31" i="9"/>
  <c r="AV31" i="9" s="1"/>
  <c r="AI30" i="9"/>
  <c r="AV30" i="9" s="1"/>
  <c r="AO28" i="9"/>
  <c r="BB28" i="9" s="1"/>
  <c r="AL27" i="9"/>
  <c r="AY27" i="9" s="1"/>
  <c r="AP24" i="9"/>
  <c r="BC24" i="9" s="1"/>
  <c r="AJ23" i="9"/>
  <c r="AW23" i="9" s="1"/>
  <c r="AG20" i="9"/>
  <c r="AT20" i="9" s="1"/>
  <c r="AP16" i="9"/>
  <c r="BC16" i="9" s="1"/>
  <c r="AL12" i="9"/>
  <c r="AY12" i="9" s="1"/>
  <c r="AK8" i="9"/>
  <c r="AX8" i="9" s="1"/>
  <c r="AK13" i="9"/>
  <c r="AX13" i="9" s="1"/>
  <c r="AL13" i="9"/>
  <c r="AY13" i="9" s="1"/>
  <c r="AG13" i="9"/>
  <c r="AT13" i="9" s="1"/>
  <c r="AH13" i="9"/>
  <c r="AU13" i="9" s="1"/>
  <c r="AI13" i="9"/>
  <c r="AV13" i="9" s="1"/>
  <c r="AJ13" i="9"/>
  <c r="AW13" i="9" s="1"/>
  <c r="AO13" i="9"/>
  <c r="BB13" i="9" s="1"/>
  <c r="AP13" i="9"/>
  <c r="BC13" i="9" s="1"/>
  <c r="AI51" i="9"/>
  <c r="AV51" i="9" s="1"/>
  <c r="AM48" i="9"/>
  <c r="AZ48" i="9" s="1"/>
  <c r="AN47" i="9"/>
  <c r="BA47" i="9" s="1"/>
  <c r="AO46" i="9"/>
  <c r="BB46" i="9" s="1"/>
  <c r="AP44" i="9"/>
  <c r="BC44" i="9" s="1"/>
  <c r="AG44" i="9"/>
  <c r="AT44" i="9" s="1"/>
  <c r="AH43" i="9"/>
  <c r="AU43" i="9" s="1"/>
  <c r="AL40" i="9"/>
  <c r="AY40" i="9" s="1"/>
  <c r="AL39" i="9"/>
  <c r="AY39" i="9" s="1"/>
  <c r="AM38" i="9"/>
  <c r="AZ38" i="9" s="1"/>
  <c r="AO36" i="9"/>
  <c r="BB36" i="9" s="1"/>
  <c r="AP35" i="9"/>
  <c r="BC35" i="9" s="1"/>
  <c r="AG35" i="9"/>
  <c r="AT35" i="9" s="1"/>
  <c r="AH32" i="9"/>
  <c r="AU32" i="9" s="1"/>
  <c r="AH31" i="9"/>
  <c r="AU31" i="9" s="1"/>
  <c r="AN28" i="9"/>
  <c r="BA28" i="9" s="1"/>
  <c r="AJ27" i="9"/>
  <c r="AW27" i="9" s="1"/>
  <c r="AO24" i="9"/>
  <c r="BB24" i="9" s="1"/>
  <c r="AI23" i="9"/>
  <c r="AV23" i="9" s="1"/>
  <c r="AP19" i="9"/>
  <c r="BC19" i="9" s="1"/>
  <c r="AO16" i="9"/>
  <c r="BB16" i="9" s="1"/>
  <c r="AK12" i="9"/>
  <c r="AX12" i="9" s="1"/>
  <c r="AJ8" i="9"/>
  <c r="AW8" i="9" s="1"/>
  <c r="AJ5" i="9"/>
  <c r="AW5" i="9" s="1"/>
  <c r="AO5" i="9"/>
  <c r="BB5" i="9" s="1"/>
  <c r="AN5" i="9"/>
  <c r="BA5" i="9" s="1"/>
  <c r="AM5" i="9"/>
  <c r="AZ5" i="9" s="1"/>
  <c r="AL5" i="9"/>
  <c r="AY5" i="9" s="1"/>
  <c r="AK5" i="9"/>
  <c r="AX5" i="9" s="1"/>
  <c r="AG5" i="9"/>
  <c r="AI5" i="9"/>
  <c r="AV5" i="9" s="1"/>
  <c r="AP5" i="9"/>
  <c r="BC5" i="9" s="1"/>
  <c r="AH5" i="9"/>
  <c r="AU5" i="9" s="1"/>
  <c r="AA43" i="11"/>
  <c r="AE43" i="11" s="1"/>
  <c r="AQ27" i="9" l="1"/>
  <c r="AQ41" i="9"/>
  <c r="AQ70" i="9"/>
  <c r="AQ56" i="9"/>
  <c r="AQ31" i="9"/>
  <c r="AQ54" i="9"/>
  <c r="AQ45" i="9"/>
  <c r="AQ40" i="9"/>
  <c r="AQ71" i="9"/>
  <c r="AQ24" i="9"/>
  <c r="AQ65" i="9"/>
  <c r="AQ83" i="9"/>
  <c r="AQ69" i="9"/>
  <c r="AQ60" i="9"/>
  <c r="AQ38" i="9"/>
  <c r="AQ30" i="9"/>
  <c r="AQ21" i="9"/>
  <c r="AQ39" i="9"/>
  <c r="AQ51" i="9"/>
  <c r="AQ46" i="9"/>
  <c r="AQ48" i="9"/>
  <c r="AQ67" i="9"/>
  <c r="AQ76" i="9"/>
  <c r="AQ26" i="9"/>
  <c r="AQ62" i="9"/>
  <c r="AQ79" i="9"/>
  <c r="AQ64" i="9"/>
  <c r="AQ34" i="9"/>
  <c r="AQ13" i="9"/>
  <c r="AQ43" i="9"/>
  <c r="AQ32" i="9"/>
  <c r="AQ72" i="9"/>
  <c r="AQ61" i="9"/>
  <c r="AQ9" i="9"/>
  <c r="AQ57" i="9"/>
  <c r="AQ50" i="9"/>
  <c r="AQ68" i="9"/>
  <c r="AQ19" i="9"/>
  <c r="AQ22" i="9"/>
  <c r="AQ7" i="9"/>
  <c r="AQ37" i="9"/>
  <c r="AQ82" i="9"/>
  <c r="AQ15" i="9"/>
  <c r="AQ47" i="9"/>
  <c r="AQ6" i="9"/>
  <c r="AQ8" i="9"/>
  <c r="AQ12" i="9"/>
  <c r="AQ29" i="9"/>
  <c r="AQ59" i="9"/>
  <c r="AQ75" i="9"/>
  <c r="AQ80" i="9"/>
  <c r="AQ25" i="9"/>
  <c r="AQ11" i="9"/>
  <c r="AQ55" i="9"/>
  <c r="AQ20" i="9"/>
  <c r="AQ78" i="9"/>
  <c r="AQ49" i="9"/>
  <c r="AQ35" i="9"/>
  <c r="AQ74" i="9"/>
  <c r="AQ23" i="9"/>
  <c r="AQ16" i="9"/>
  <c r="AQ28" i="9"/>
  <c r="AQ63" i="9"/>
  <c r="AQ52" i="9"/>
  <c r="AQ18" i="9"/>
  <c r="AQ53" i="9"/>
  <c r="AQ77" i="9"/>
  <c r="AQ17" i="9"/>
  <c r="AQ73" i="9"/>
  <c r="AQ10" i="9"/>
  <c r="AQ66" i="9"/>
  <c r="AQ14" i="9"/>
  <c r="AQ84" i="9"/>
  <c r="AQ33" i="9"/>
  <c r="AQ81" i="9"/>
  <c r="AQ42" i="9"/>
  <c r="AQ58" i="9"/>
  <c r="AQ5" i="9"/>
  <c r="R5" i="9"/>
  <c r="AQ85" i="9" l="1"/>
  <c r="Y39" i="11"/>
  <c r="Z39" i="11" s="1"/>
  <c r="AA39" i="11" s="1"/>
  <c r="F102" i="9"/>
  <c r="N6" i="13"/>
  <c r="O6" i="13" s="1"/>
  <c r="S6" i="13" s="1"/>
  <c r="N7" i="13"/>
  <c r="O7" i="13" s="1"/>
  <c r="S7" i="13" s="1"/>
  <c r="N8" i="13"/>
  <c r="O8" i="13" s="1"/>
  <c r="S8" i="13" s="1"/>
  <c r="N9" i="13"/>
  <c r="O9" i="13" s="1"/>
  <c r="S9" i="13" s="1"/>
  <c r="N10" i="13"/>
  <c r="O10" i="13" s="1"/>
  <c r="S10" i="13" s="1"/>
  <c r="N11" i="13"/>
  <c r="O11" i="13" s="1"/>
  <c r="S11" i="13" s="1"/>
  <c r="N12" i="13"/>
  <c r="O12" i="13" s="1"/>
  <c r="S12" i="13" s="1"/>
  <c r="N13" i="13"/>
  <c r="O13" i="13" s="1"/>
  <c r="S13" i="13" s="1"/>
  <c r="N14" i="13"/>
  <c r="O14" i="13" s="1"/>
  <c r="S14" i="13" s="1"/>
  <c r="N15" i="13"/>
  <c r="O15" i="13" s="1"/>
  <c r="S15" i="13" s="1"/>
  <c r="N16" i="13"/>
  <c r="O16" i="13" s="1"/>
  <c r="S16" i="13" s="1"/>
  <c r="N17" i="13"/>
  <c r="O17" i="13" s="1"/>
  <c r="S17" i="13" s="1"/>
  <c r="N18" i="13"/>
  <c r="O18" i="13" s="1"/>
  <c r="S18" i="13" s="1"/>
  <c r="N19" i="13"/>
  <c r="O19" i="13" s="1"/>
  <c r="S19" i="13" s="1"/>
  <c r="N20" i="13"/>
  <c r="O20" i="13" s="1"/>
  <c r="S20" i="13" s="1"/>
  <c r="N21" i="13"/>
  <c r="O21" i="13" s="1"/>
  <c r="S21" i="13" s="1"/>
  <c r="N22" i="13"/>
  <c r="O22" i="13" s="1"/>
  <c r="S22" i="13" s="1"/>
  <c r="N23" i="13"/>
  <c r="O23" i="13" s="1"/>
  <c r="S23" i="13" s="1"/>
  <c r="N24" i="13"/>
  <c r="O24" i="13" s="1"/>
  <c r="S24" i="13" s="1"/>
  <c r="N25" i="13"/>
  <c r="O25" i="13" s="1"/>
  <c r="S25" i="13" s="1"/>
  <c r="N26" i="13"/>
  <c r="O26" i="13" s="1"/>
  <c r="S26" i="13" s="1"/>
  <c r="N27" i="13"/>
  <c r="O27" i="13" s="1"/>
  <c r="S27" i="13" s="1"/>
  <c r="N28" i="13"/>
  <c r="O28" i="13" s="1"/>
  <c r="S28" i="13" s="1"/>
  <c r="N29" i="13"/>
  <c r="O29" i="13" s="1"/>
  <c r="S29" i="13" s="1"/>
  <c r="O30" i="13"/>
  <c r="S30" i="13" s="1"/>
  <c r="T30" i="13" s="1"/>
  <c r="N31" i="13"/>
  <c r="O31" i="13" s="1"/>
  <c r="S31" i="13" s="1"/>
  <c r="T31" i="13" s="1"/>
  <c r="N32" i="13"/>
  <c r="O32" i="13" s="1"/>
  <c r="S32" i="13" s="1"/>
  <c r="T32" i="13" s="1"/>
  <c r="N33" i="13"/>
  <c r="O33" i="13" s="1"/>
  <c r="S33" i="13" s="1"/>
  <c r="T33" i="13" s="1"/>
  <c r="N34" i="13"/>
  <c r="O34" i="13" s="1"/>
  <c r="S34" i="13" s="1"/>
  <c r="T34" i="13" s="1"/>
  <c r="N35" i="13"/>
  <c r="O35" i="13" s="1"/>
  <c r="S35" i="13" s="1"/>
  <c r="T35" i="13" s="1"/>
  <c r="N36" i="13"/>
  <c r="O36" i="13" s="1"/>
  <c r="S36" i="13" s="1"/>
  <c r="T36" i="13" s="1"/>
  <c r="N37" i="13"/>
  <c r="O37" i="13" s="1"/>
  <c r="S37" i="13" s="1"/>
  <c r="T37" i="13" s="1"/>
  <c r="N38" i="13"/>
  <c r="O38" i="13" s="1"/>
  <c r="S38" i="13" s="1"/>
  <c r="T38" i="13" s="1"/>
  <c r="O39" i="13"/>
  <c r="S39" i="13" s="1"/>
  <c r="T39" i="13" s="1"/>
  <c r="N40" i="13"/>
  <c r="S40" i="13" s="1"/>
  <c r="T40" i="13" s="1"/>
  <c r="N41" i="13"/>
  <c r="O41" i="13" s="1"/>
  <c r="T41" i="13" s="1"/>
  <c r="N42" i="13"/>
  <c r="O42" i="13" s="1"/>
  <c r="S42" i="13" s="1"/>
  <c r="T42" i="13" s="1"/>
  <c r="N43" i="13"/>
  <c r="O43" i="13" s="1"/>
  <c r="S43" i="13" s="1"/>
  <c r="T43" i="13" s="1"/>
  <c r="N44" i="13"/>
  <c r="O44" i="13" s="1"/>
  <c r="S44" i="13" s="1"/>
  <c r="T44" i="13" s="1"/>
  <c r="N45" i="13"/>
  <c r="O45" i="13" s="1"/>
  <c r="S45" i="13" s="1"/>
  <c r="T45" i="13" s="1"/>
  <c r="N46" i="13"/>
  <c r="O46" i="13" s="1"/>
  <c r="S46" i="13" s="1"/>
  <c r="T46" i="13" s="1"/>
  <c r="N47" i="13"/>
  <c r="O47" i="13" s="1"/>
  <c r="S47" i="13" s="1"/>
  <c r="T47" i="13" s="1"/>
  <c r="N48" i="13"/>
  <c r="O48" i="13" s="1"/>
  <c r="S48" i="13" s="1"/>
  <c r="N49" i="13"/>
  <c r="O49" i="13" s="1"/>
  <c r="S49" i="13" s="1"/>
  <c r="N50" i="13"/>
  <c r="O50" i="13" s="1"/>
  <c r="S50" i="13" s="1"/>
  <c r="N51" i="13"/>
  <c r="O51" i="13" s="1"/>
  <c r="S51" i="13" s="1"/>
  <c r="N52" i="13"/>
  <c r="O52" i="13" s="1"/>
  <c r="S52" i="13" s="1"/>
  <c r="N53" i="13"/>
  <c r="O53" i="13" s="1"/>
  <c r="S53" i="13" s="1"/>
  <c r="N54" i="13"/>
  <c r="O54" i="13" s="1"/>
  <c r="S54" i="13" s="1"/>
  <c r="T54" i="13" s="1"/>
  <c r="N55" i="13"/>
  <c r="O55" i="13" s="1"/>
  <c r="S55" i="13" s="1"/>
  <c r="T55" i="13" s="1"/>
  <c r="N56" i="13"/>
  <c r="O56" i="13" s="1"/>
  <c r="S56" i="13" s="1"/>
  <c r="T56" i="13" s="1"/>
  <c r="N57" i="13"/>
  <c r="O57" i="13" s="1"/>
  <c r="S57" i="13" s="1"/>
  <c r="T57" i="13" s="1"/>
  <c r="N58" i="13"/>
  <c r="O58" i="13" s="1"/>
  <c r="S58" i="13" s="1"/>
  <c r="N59" i="13"/>
  <c r="O59" i="13" s="1"/>
  <c r="S59" i="13" s="1"/>
  <c r="N60" i="13"/>
  <c r="O60" i="13" s="1"/>
  <c r="S60" i="13" s="1"/>
  <c r="N61" i="13"/>
  <c r="O61" i="13" s="1"/>
  <c r="S61" i="13" s="1"/>
  <c r="N62" i="13"/>
  <c r="O62" i="13" s="1"/>
  <c r="S62" i="13" s="1"/>
  <c r="T62" i="13" s="1"/>
  <c r="N63" i="13"/>
  <c r="O63" i="13" s="1"/>
  <c r="S63" i="13" s="1"/>
  <c r="T63" i="13" s="1"/>
  <c r="N64" i="13"/>
  <c r="O64" i="13" s="1"/>
  <c r="S64" i="13" s="1"/>
  <c r="T64" i="13" s="1"/>
  <c r="N65" i="13"/>
  <c r="O65" i="13" s="1"/>
  <c r="S65" i="13" s="1"/>
  <c r="T65" i="13" s="1"/>
  <c r="N66" i="13"/>
  <c r="O66" i="13" s="1"/>
  <c r="S66" i="13" s="1"/>
  <c r="N67" i="13"/>
  <c r="O67" i="13" s="1"/>
  <c r="S67" i="13" s="1"/>
  <c r="N68" i="13"/>
  <c r="O68" i="13" s="1"/>
  <c r="S68" i="13" s="1"/>
  <c r="N69" i="13"/>
  <c r="O69" i="13" s="1"/>
  <c r="S69" i="13" s="1"/>
  <c r="T69" i="13" s="1"/>
  <c r="N70" i="13"/>
  <c r="O70" i="13" s="1"/>
  <c r="S70" i="13" s="1"/>
  <c r="T70" i="13" s="1"/>
  <c r="N71" i="13"/>
  <c r="O71" i="13" s="1"/>
  <c r="S71" i="13" s="1"/>
  <c r="N72" i="13"/>
  <c r="O72" i="13" s="1"/>
  <c r="S72" i="13" s="1"/>
  <c r="N73" i="13"/>
  <c r="O73" i="13" s="1"/>
  <c r="S73" i="13" s="1"/>
  <c r="T73" i="13" s="1"/>
  <c r="N74" i="13"/>
  <c r="O74" i="13" s="1"/>
  <c r="S74" i="13" s="1"/>
  <c r="T74" i="13" s="1"/>
  <c r="N75" i="13"/>
  <c r="O75" i="13" s="1"/>
  <c r="S75" i="13" s="1"/>
  <c r="T75" i="13" s="1"/>
  <c r="N76" i="13"/>
  <c r="O76" i="13" s="1"/>
  <c r="S76" i="13" s="1"/>
  <c r="T76" i="13" s="1"/>
  <c r="N77" i="13"/>
  <c r="O77" i="13" s="1"/>
  <c r="S77" i="13" s="1"/>
  <c r="T77" i="13" s="1"/>
  <c r="N5" i="13"/>
  <c r="O5" i="13" s="1"/>
  <c r="S5" i="13" s="1"/>
  <c r="AC42" i="11"/>
  <c r="AD42" i="11" s="1"/>
  <c r="Y42" i="11"/>
  <c r="Z42" i="11" s="1"/>
  <c r="AC41" i="11"/>
  <c r="AD41" i="11" s="1"/>
  <c r="Y41" i="11"/>
  <c r="Z41" i="11" s="1"/>
  <c r="AC40" i="11"/>
  <c r="AD40" i="11" s="1"/>
  <c r="Y40" i="11"/>
  <c r="Z40" i="11" s="1"/>
  <c r="AB39" i="11"/>
  <c r="AC39" i="11" s="1"/>
  <c r="F103" i="9"/>
  <c r="M105" i="9"/>
  <c r="O105" i="9"/>
  <c r="N104" i="9"/>
  <c r="L104" i="9"/>
  <c r="G104" i="9"/>
  <c r="F104" i="9"/>
  <c r="O104" i="9"/>
  <c r="M103" i="9"/>
  <c r="G103" i="9"/>
  <c r="O103" i="9"/>
  <c r="N102" i="9"/>
  <c r="O102" i="9"/>
  <c r="AE39" i="11" l="1"/>
  <c r="AA41" i="11"/>
  <c r="AE41" i="11" s="1"/>
  <c r="AA42" i="11"/>
  <c r="AE42" i="11" s="1"/>
  <c r="AA40" i="11"/>
  <c r="AE40" i="11" s="1"/>
  <c r="G102" i="9"/>
  <c r="J102" i="9"/>
  <c r="I103" i="9"/>
  <c r="H104" i="9"/>
  <c r="G105" i="9"/>
  <c r="K102" i="9"/>
  <c r="J103" i="9"/>
  <c r="I104" i="9"/>
  <c r="H105" i="9"/>
  <c r="H103" i="9"/>
  <c r="L102" i="9"/>
  <c r="K103" i="9"/>
  <c r="J104" i="9"/>
  <c r="I105" i="9"/>
  <c r="I102" i="9"/>
  <c r="M102" i="9"/>
  <c r="L103" i="9"/>
  <c r="K104" i="9"/>
  <c r="J105" i="9"/>
  <c r="K105" i="9"/>
  <c r="N103" i="9"/>
  <c r="M104" i="9"/>
  <c r="L105" i="9"/>
  <c r="N105" i="9"/>
  <c r="Y5" i="9" l="1"/>
  <c r="X5" i="9"/>
  <c r="W5" i="9"/>
  <c r="V5" i="9"/>
  <c r="U5" i="9"/>
  <c r="AB7" i="9" l="1" a="1"/>
  <c r="AB7" i="9" s="1"/>
  <c r="AB15" i="9" a="1"/>
  <c r="AB15" i="9" s="1"/>
  <c r="AB23" i="9" a="1"/>
  <c r="AB23" i="9" s="1"/>
  <c r="AB31" i="9" a="1"/>
  <c r="AB31" i="9" s="1"/>
  <c r="AB39" i="9" a="1"/>
  <c r="AB39" i="9" s="1"/>
  <c r="AB47" i="9" a="1"/>
  <c r="AB55" i="9" a="1"/>
  <c r="AB55" i="9" s="1"/>
  <c r="AB63" i="9" a="1"/>
  <c r="AB63" i="9" s="1"/>
  <c r="AB71" i="9" a="1"/>
  <c r="AB71" i="9" s="1"/>
  <c r="AB79" i="9" a="1"/>
  <c r="AB79" i="9" s="1"/>
  <c r="AB52" i="9" a="1"/>
  <c r="AB52" i="9" s="1"/>
  <c r="AB68" i="9" a="1"/>
  <c r="AB68" i="9" s="1"/>
  <c r="AB81" i="9" a="1"/>
  <c r="AB81" i="9" s="1"/>
  <c r="AB12" i="9" a="1"/>
  <c r="AB12" i="9" s="1"/>
  <c r="AB20" i="9" a="1"/>
  <c r="AB20" i="9" s="1"/>
  <c r="AB28" i="9" a="1"/>
  <c r="AB28" i="9" s="1"/>
  <c r="AB36" i="9" a="1"/>
  <c r="AB36" i="9" s="1"/>
  <c r="AB44" i="9" a="1"/>
  <c r="AB44" i="9" s="1"/>
  <c r="AB47" i="9"/>
  <c r="AB60" i="9" a="1"/>
  <c r="AB76" i="9" a="1"/>
  <c r="AB76" i="9" s="1"/>
  <c r="AB14" i="9" a="1"/>
  <c r="AB14" i="9" s="1"/>
  <c r="AB22" i="9" a="1"/>
  <c r="AB22" i="9" s="1"/>
  <c r="AB30" i="9" a="1"/>
  <c r="AB30" i="9" s="1"/>
  <c r="AB38" i="9" a="1"/>
  <c r="AB38" i="9" s="1"/>
  <c r="AB46" i="9" a="1"/>
  <c r="AB46" i="9" s="1"/>
  <c r="AB54" i="9" a="1"/>
  <c r="AB54" i="9" s="1"/>
  <c r="AB62" i="9" a="1"/>
  <c r="AB62" i="9" s="1"/>
  <c r="AB70" i="9" a="1"/>
  <c r="AB70" i="9" s="1"/>
  <c r="AB78" i="9" a="1"/>
  <c r="AB78" i="9" s="1"/>
  <c r="AB11" i="9" a="1"/>
  <c r="AB11" i="9" s="1"/>
  <c r="AB19" i="9" a="1"/>
  <c r="AB27" i="9" a="1"/>
  <c r="AB27" i="9" s="1"/>
  <c r="AB35" i="9" a="1"/>
  <c r="AB43" i="9" a="1"/>
  <c r="AB43" i="9" s="1"/>
  <c r="AB51" i="9" a="1"/>
  <c r="AB51" i="9" s="1"/>
  <c r="AB59" i="9" a="1"/>
  <c r="AB59" i="9" s="1"/>
  <c r="AB67" i="9" a="1"/>
  <c r="AB67" i="9" s="1"/>
  <c r="AB75" i="9" a="1"/>
  <c r="AB83" i="9" a="1"/>
  <c r="AB48" i="9" a="1"/>
  <c r="AB48" i="9" s="1"/>
  <c r="AB56" i="9" a="1"/>
  <c r="AB56" i="9" s="1"/>
  <c r="AB72" i="9" a="1"/>
  <c r="AB72" i="9" s="1"/>
  <c r="AB83" i="9"/>
  <c r="AB66" i="9" a="1"/>
  <c r="AB66" i="9" s="1"/>
  <c r="AB74" i="9" a="1"/>
  <c r="AB74" i="9"/>
  <c r="AB82" i="9" a="1"/>
  <c r="AB82" i="9" s="1"/>
  <c r="AB8" i="9" a="1"/>
  <c r="AB8" i="9" s="1"/>
  <c r="AB16" i="9" a="1"/>
  <c r="AB16" i="9" s="1"/>
  <c r="AB19" i="9"/>
  <c r="AB24" i="9" a="1"/>
  <c r="AB24" i="9" s="1"/>
  <c r="AB32" i="9" a="1"/>
  <c r="AB35" i="9"/>
  <c r="AB40" i="9" a="1"/>
  <c r="AB40" i="9" s="1"/>
  <c r="AB64" i="9" a="1"/>
  <c r="AB64" i="9" s="1"/>
  <c r="AB75" i="9"/>
  <c r="AB80" i="9" a="1"/>
  <c r="AB80" i="9"/>
  <c r="AB69" i="9" a="1"/>
  <c r="AB69" i="9"/>
  <c r="AB77" i="9" a="1"/>
  <c r="AB13" i="9" a="1"/>
  <c r="AB21" i="9" a="1"/>
  <c r="AB21" i="9" s="1"/>
  <c r="AB29" i="9" a="1"/>
  <c r="AB29" i="9" s="1"/>
  <c r="AB32" i="9"/>
  <c r="AB37" i="9" a="1"/>
  <c r="AB37" i="9" s="1"/>
  <c r="AB45" i="9" a="1"/>
  <c r="AB45" i="9" s="1"/>
  <c r="AB53" i="9" a="1"/>
  <c r="AB53" i="9" s="1"/>
  <c r="AB61" i="9" a="1"/>
  <c r="AB61" i="9" s="1"/>
  <c r="AB77" i="9"/>
  <c r="AB60" i="9"/>
  <c r="AB10" i="9" a="1"/>
  <c r="AB10" i="9" s="1"/>
  <c r="AB13" i="9"/>
  <c r="AB18" i="9" a="1"/>
  <c r="AB18" i="9" s="1"/>
  <c r="AB26" i="9" a="1"/>
  <c r="AB26" i="9"/>
  <c r="AB34" i="9" a="1"/>
  <c r="AB34" i="9"/>
  <c r="AB42" i="9" a="1"/>
  <c r="AB42" i="9" s="1"/>
  <c r="AB50" i="9" a="1"/>
  <c r="AB50" i="9"/>
  <c r="AB58" i="9" a="1"/>
  <c r="AB58" i="9" s="1"/>
  <c r="AB84" i="9" a="1"/>
  <c r="AB84" i="9" s="1"/>
  <c r="AA84" i="9"/>
  <c r="AB33" i="9" a="1"/>
  <c r="AB33" i="9" s="1"/>
  <c r="AB41" i="9" a="1"/>
  <c r="AB41" i="9"/>
  <c r="AA22" i="9"/>
  <c r="AA62" i="9"/>
  <c r="AA13" i="9"/>
  <c r="AA21" i="9"/>
  <c r="AA29" i="9"/>
  <c r="AA37" i="9"/>
  <c r="AA45" i="9"/>
  <c r="AA53" i="9"/>
  <c r="AA61" i="9"/>
  <c r="AA69" i="9"/>
  <c r="AA77" i="9"/>
  <c r="AB6" i="9" a="1"/>
  <c r="AB6" i="9"/>
  <c r="AA30" i="9"/>
  <c r="AA6" i="9"/>
  <c r="AA15" i="9"/>
  <c r="AA23" i="9"/>
  <c r="AA31" i="9"/>
  <c r="AB57" i="9" a="1"/>
  <c r="AB57" i="9"/>
  <c r="AA16" i="9"/>
  <c r="AA24" i="9"/>
  <c r="AA32" i="9"/>
  <c r="AA40" i="9"/>
  <c r="AA48" i="9"/>
  <c r="AA56" i="9"/>
  <c r="AA64" i="9"/>
  <c r="AA72" i="9"/>
  <c r="AA80" i="9"/>
  <c r="AB65" i="9" a="1"/>
  <c r="AB65" i="9"/>
  <c r="AA7" i="9"/>
  <c r="AA8" i="9"/>
  <c r="AA17" i="9"/>
  <c r="AA25" i="9"/>
  <c r="AA33" i="9"/>
  <c r="AA41" i="9"/>
  <c r="AA49" i="9"/>
  <c r="AA57" i="9"/>
  <c r="AA65" i="9"/>
  <c r="AA73" i="9"/>
  <c r="AA81" i="9"/>
  <c r="AA9" i="9"/>
  <c r="AB9" i="9" a="1"/>
  <c r="AB9" i="9"/>
  <c r="AB73" i="9" a="1"/>
  <c r="AB73" i="9"/>
  <c r="AA10" i="9"/>
  <c r="AA18" i="9"/>
  <c r="AA26" i="9"/>
  <c r="AA34" i="9"/>
  <c r="AA42" i="9"/>
  <c r="AA50" i="9"/>
  <c r="AB17" i="9" a="1"/>
  <c r="AB17" i="9"/>
  <c r="AA14" i="9"/>
  <c r="AA38" i="9"/>
  <c r="AA46" i="9"/>
  <c r="AA54" i="9"/>
  <c r="AA70" i="9"/>
  <c r="AA78" i="9"/>
  <c r="AB25" i="9" a="1"/>
  <c r="AB25" i="9"/>
  <c r="AA20" i="9"/>
  <c r="AB49" i="9" a="1"/>
  <c r="AB49" i="9"/>
  <c r="AA12" i="9"/>
  <c r="AA52" i="9"/>
  <c r="AA5" i="9"/>
  <c r="AB5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<sst xmlns="http://schemas.openxmlformats.org/spreadsheetml/2006/main" count="1102" uniqueCount="159">
  <si>
    <t>Месторождение</t>
  </si>
  <si>
    <t>Скважина</t>
  </si>
  <si>
    <t>№</t>
  </si>
  <si>
    <t>Прониц.</t>
  </si>
  <si>
    <t>По-</t>
  </si>
  <si>
    <t>Давление, МПа</t>
  </si>
  <si>
    <t>образца</t>
  </si>
  <si>
    <t>рист.</t>
  </si>
  <si>
    <r>
      <t>10</t>
    </r>
    <r>
      <rPr>
        <vertAlign val="superscript"/>
        <sz val="10"/>
        <rFont val="Times New Roman Cyr"/>
        <family val="1"/>
        <charset val="204"/>
      </rPr>
      <t>-3</t>
    </r>
    <r>
      <rPr>
        <sz val="10"/>
        <rFont val="Times New Roman Cyr"/>
        <family val="1"/>
        <charset val="204"/>
      </rPr>
      <t>мкм</t>
    </r>
    <r>
      <rPr>
        <vertAlign val="superscript"/>
        <sz val="10"/>
        <rFont val="Times New Roman Cyr"/>
        <family val="1"/>
        <charset val="204"/>
      </rPr>
      <t>2</t>
    </r>
  </si>
  <si>
    <t>%</t>
  </si>
  <si>
    <t>Остаточная водонасыщенность,%</t>
  </si>
  <si>
    <t>Кпр, мД</t>
  </si>
  <si>
    <t>Кп, %</t>
  </si>
  <si>
    <t>Кво, %</t>
  </si>
  <si>
    <t>Хыльчуюское</t>
  </si>
  <si>
    <t>37-402-18</t>
  </si>
  <si>
    <t>37-408-18</t>
  </si>
  <si>
    <t>37-411-18</t>
  </si>
  <si>
    <t>37-422-18</t>
  </si>
  <si>
    <t>37-425-18</t>
  </si>
  <si>
    <t>37-426-18</t>
  </si>
  <si>
    <t>37-428-18</t>
  </si>
  <si>
    <t>37-433-18</t>
  </si>
  <si>
    <t>37-437-18</t>
  </si>
  <si>
    <t>Ярейюское</t>
  </si>
  <si>
    <t>2Р</t>
  </si>
  <si>
    <t>30-109-16</t>
  </si>
  <si>
    <t>30-111-16</t>
  </si>
  <si>
    <t>30-114-16</t>
  </si>
  <si>
    <t>30-117-16</t>
  </si>
  <si>
    <t>30-119-16</t>
  </si>
  <si>
    <t>30-122-16</t>
  </si>
  <si>
    <t>30-124-16</t>
  </si>
  <si>
    <t>30-126-16</t>
  </si>
  <si>
    <t>30-128-16</t>
  </si>
  <si>
    <t>30-131-16</t>
  </si>
  <si>
    <t>30-132-16</t>
  </si>
  <si>
    <t>b</t>
  </si>
  <si>
    <t>a</t>
  </si>
  <si>
    <t>Кп</t>
  </si>
  <si>
    <t>Кпр</t>
  </si>
  <si>
    <t>Возраст</t>
  </si>
  <si>
    <t>Кво</t>
  </si>
  <si>
    <t>Скв.</t>
  </si>
  <si>
    <t>Лабораторный №</t>
  </si>
  <si>
    <t>Капиллярное давление, МПа</t>
  </si>
  <si>
    <t>Примечание</t>
  </si>
  <si>
    <t>Кв, %</t>
  </si>
  <si>
    <t>Чудесное</t>
  </si>
  <si>
    <t>Пласт</t>
  </si>
  <si>
    <t>Насыщение</t>
  </si>
  <si>
    <t>Кв</t>
  </si>
  <si>
    <t>Кн</t>
  </si>
  <si>
    <t>Нефть</t>
  </si>
  <si>
    <t>Вода</t>
  </si>
  <si>
    <t>Скважины</t>
  </si>
  <si>
    <t>Уровень ЗЧВ, м</t>
  </si>
  <si>
    <r>
      <t>Δ</t>
    </r>
    <r>
      <rPr>
        <b/>
        <sz val="10"/>
        <color rgb="FF000000"/>
        <rFont val="Times New Roman"/>
        <family val="1"/>
        <charset val="204"/>
      </rPr>
      <t>ВНК, м</t>
    </r>
  </si>
  <si>
    <t>δн, г/см3</t>
  </si>
  <si>
    <t>δв, г/см3</t>
  </si>
  <si>
    <t>Уровень ВНК,а.о., м</t>
  </si>
  <si>
    <t>Кв*</t>
  </si>
  <si>
    <t>Кв_кр</t>
  </si>
  <si>
    <t>Кв**</t>
  </si>
  <si>
    <t xml:space="preserve">Капиллярная модель </t>
  </si>
  <si>
    <t>кровля</t>
  </si>
  <si>
    <t>подошва</t>
  </si>
  <si>
    <t>кровля, а.о.</t>
  </si>
  <si>
    <t>подошва, а.о.</t>
  </si>
  <si>
    <t>УЭС, Ом.м</t>
  </si>
  <si>
    <t>H, м</t>
  </si>
  <si>
    <t>dЗЧВ, м</t>
  </si>
  <si>
    <t>Kво, %</t>
  </si>
  <si>
    <t>Кн,%</t>
  </si>
  <si>
    <t>Электрическая модель Дахнова-Арчи</t>
  </si>
  <si>
    <t>- парметры функции аппроксимации</t>
  </si>
  <si>
    <t>ЗЧВ</t>
  </si>
  <si>
    <t>а</t>
  </si>
  <si>
    <t>Рс лаб, МПа:</t>
  </si>
  <si>
    <r>
      <t>σ</t>
    </r>
    <r>
      <rPr>
        <b/>
        <vertAlign val="subscript"/>
        <sz val="12"/>
        <color rgb="FF000000"/>
        <rFont val="Times New Roman"/>
        <family val="1"/>
        <charset val="204"/>
      </rPr>
      <t>пл</t>
    </r>
  </si>
  <si>
    <r>
      <t>σ</t>
    </r>
    <r>
      <rPr>
        <b/>
        <vertAlign val="subscript"/>
        <sz val="12"/>
        <color rgb="FF000000"/>
        <rFont val="Times New Roman"/>
        <family val="1"/>
        <charset val="204"/>
      </rPr>
      <t>лаб</t>
    </r>
  </si>
  <si>
    <t>Кпр, мД:</t>
  </si>
  <si>
    <t>Кво:</t>
  </si>
  <si>
    <t>а:</t>
  </si>
  <si>
    <t>b:</t>
  </si>
  <si>
    <t>Рс(кв*)</t>
  </si>
  <si>
    <t>Рс(кв**)</t>
  </si>
  <si>
    <t>Рс(кв_кр)</t>
  </si>
  <si>
    <t>Рспл (Кв**)</t>
  </si>
  <si>
    <t>∆Нзчв (Кв**)</t>
  </si>
  <si>
    <t>VI-2</t>
  </si>
  <si>
    <t>VII</t>
  </si>
  <si>
    <t>VIII</t>
  </si>
  <si>
    <t>VIII-2</t>
  </si>
  <si>
    <t>IX-X</t>
  </si>
  <si>
    <t>XVI-XVII</t>
  </si>
  <si>
    <t>XIX</t>
  </si>
  <si>
    <t>XXI</t>
  </si>
  <si>
    <t>Рс пл, МПа:</t>
  </si>
  <si>
    <t>Нзчв, м: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</si>
  <si>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</si>
  <si>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</si>
  <si>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</si>
  <si>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</si>
  <si>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</si>
  <si>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</si>
  <si>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</si>
  <si>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</si>
  <si>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</si>
  <si>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</si>
  <si>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</si>
  <si>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22</t>
  </si>
  <si>
    <t>12</t>
  </si>
  <si>
    <t>23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</si>
  <si>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</si>
  <si>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</si>
  <si>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</si>
  <si>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</si>
  <si>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</si>
  <si>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</si>
  <si>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</si>
  <si>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</si>
  <si>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</si>
  <si>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24</t>
  </si>
  <si>
    <t>25</t>
  </si>
  <si>
    <t>26</t>
  </si>
  <si>
    <t>27</t>
  </si>
  <si>
    <t>№ режима испытания</t>
  </si>
  <si>
    <t>Насыщен- ность водой,%</t>
  </si>
  <si>
    <t>Насыщен-ность нефтью,%</t>
  </si>
  <si>
    <t>Относи-тельная проница-емость по нефти</t>
  </si>
  <si>
    <t>Относи-тельная проница-емость по воде</t>
  </si>
  <si>
    <t>Номер образца</t>
  </si>
  <si>
    <t>Кв*, %</t>
  </si>
  <si>
    <t>Кв**, %</t>
  </si>
  <si>
    <t>Кв.кр, %</t>
  </si>
  <si>
    <t>Полученны по МНК для каждой ККД</t>
  </si>
  <si>
    <t>Рассчитать по связи с Кп или с Кпр</t>
  </si>
  <si>
    <t>модельные ККД</t>
  </si>
  <si>
    <t>А</t>
  </si>
  <si>
    <t>средняя ошибка аппроксимации</t>
  </si>
  <si>
    <t>математические выкладки для определения а и b</t>
  </si>
  <si>
    <t>Рспл (Кв*)</t>
  </si>
  <si>
    <t>∆Нзчв (Кв*)</t>
  </si>
  <si>
    <t xml:space="preserve">dH, м - мощность переходной зоны </t>
  </si>
  <si>
    <t>XI</t>
  </si>
  <si>
    <t>XII</t>
  </si>
  <si>
    <t>XIII-XIV</t>
  </si>
  <si>
    <t>XVIII</t>
  </si>
  <si>
    <t>XX</t>
  </si>
  <si>
    <t>XXII</t>
  </si>
  <si>
    <t>Кпр среднее, мД</t>
  </si>
  <si>
    <t>IV</t>
  </si>
  <si>
    <t>VI</t>
  </si>
  <si>
    <t>XXIII</t>
  </si>
  <si>
    <t>Неясное</t>
  </si>
  <si>
    <t>Рс.лаб., МПа</t>
  </si>
  <si>
    <t xml:space="preserve"> </t>
  </si>
  <si>
    <t>ср ошибка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</si>
</sst>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64" formatCode="_-* #,##0.00\ _₽_-;\-* #,##0.00\ _₽_-;_-* &quot;-&quot;??\ _₽_-;_-@_-"/>
    <numFmt numFmtId="165" formatCode="0.000"/>
    <numFmt numFmtId="166" formatCode="0.0"/>
    <numFmt numFmtId="167" formatCode="0.0000"/>
    <numFmt numFmtId="168" formatCode="_-* #,##0\ _р_._-;\-* #,##0\ _р_._-;_-* &quot;-&quot;\ _р_._-;_-@_-"/>
  </numFmts>
  <fonts count="2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0"/>
      <name val="Arial Cyr"/>
      <charset val="204"/>
    </font>
    <font>
      <sz val="12"/>
      <name val="Times New Roman Cyr"/>
      <family val="1"/>
      <charset val="204"/>
    </font>
    <font>
      <sz val="10"/>
      <name val="Times New Roman Cyr"/>
      <family val="1"/>
      <charset val="204"/>
    </font>
    <font>
      <b/>
      <sz val="12"/>
      <name val="Times New Roman Cyr"/>
      <family val="1"/>
      <charset val="204"/>
    </font>
    <font>
      <vertAlign val="superscript"/>
      <sz val="10"/>
      <name val="Times New Roman Cyr"/>
      <family val="1"/>
      <charset val="204"/>
    </font>
    <font>
      <sz val="12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color theme="1"/>
      <name val="Times New Roman"/>
      <family val="2"/>
      <charset val="204"/>
    </font>
    <font>
      <b/>
      <sz val="10"/>
      <color rgb="FF000000"/>
      <name val="Times New Roman"/>
      <family val="1"/>
      <charset val="204"/>
    </font>
    <font>
      <b/>
      <sz val="10"/>
      <color rgb="FF000000"/>
      <name val="Calibri"/>
      <family val="2"/>
      <charset val="204"/>
    </font>
    <font>
      <b/>
      <sz val="10"/>
      <name val="Times New Roman Cyr"/>
      <family val="1"/>
      <charset val="204"/>
    </font>
    <font>
      <sz val="12"/>
      <name val="Calibri"/>
      <family val="2"/>
      <charset val="204"/>
      <scheme val="minor"/>
    </font>
    <font>
      <b/>
      <sz val="12"/>
      <color rgb="FF000000"/>
      <name val="Times New Roman"/>
      <family val="1"/>
      <charset val="204"/>
    </font>
    <font>
      <b/>
      <vertAlign val="subscript"/>
      <sz val="12"/>
      <color rgb="FF000000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0"/>
      <name val="Arial Cyr"/>
    </font>
    <font>
      <b/>
      <sz val="11"/>
      <color rgb="FFFF0000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gray125">
        <fgColor indexed="35"/>
        <bgColor indexed="9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</borders>
  <cellStyleXfs count="18">
    <xf numFmtId="0" fontId="0" fillId="0" borderId="0"/>
    <xf numFmtId="0" fontId="1" fillId="0" borderId="0"/>
    <xf numFmtId="0" fontId="3" fillId="0" borderId="0"/>
    <xf numFmtId="0" fontId="2" fillId="0" borderId="0" applyNumberFormat="0" applyFont="0" applyFill="0" applyBorder="0" applyAlignment="0" applyProtection="0">
      <alignment vertical="top"/>
    </xf>
    <xf numFmtId="0" fontId="2" fillId="0" borderId="0" applyNumberFormat="0" applyFont="0" applyFill="0" applyBorder="0" applyAlignment="0" applyProtection="0">
      <alignment vertical="top"/>
    </xf>
    <xf numFmtId="0" fontId="2" fillId="0" borderId="0" applyNumberFormat="0" applyFont="0" applyFill="0" applyBorder="0" applyAlignment="0" applyProtection="0">
      <alignment vertical="top"/>
    </xf>
    <xf numFmtId="164" fontId="10" fillId="0" borderId="0" applyFont="0" applyFill="0" applyBorder="0" applyAlignment="0" applyProtection="0"/>
    <xf numFmtId="0" fontId="2" fillId="0" borderId="0"/>
    <xf numFmtId="0" fontId="3" fillId="0" borderId="0"/>
    <xf numFmtId="0" fontId="15" fillId="0" borderId="0"/>
    <xf numFmtId="0" fontId="10" fillId="0" borderId="0"/>
    <xf numFmtId="0" fontId="10" fillId="0" borderId="0"/>
    <xf numFmtId="0" fontId="8" fillId="0" borderId="0"/>
    <xf numFmtId="0" fontId="2" fillId="0" borderId="0" applyNumberFormat="0" applyFont="0" applyFill="0" applyBorder="0" applyAlignment="0" applyProtection="0">
      <alignment vertical="top"/>
    </xf>
    <xf numFmtId="41" fontId="10" fillId="0" borderId="0" applyFont="0" applyFill="0" applyBorder="0" applyAlignment="0" applyProtection="0"/>
    <xf numFmtId="0" fontId="23" fillId="0" borderId="0"/>
    <xf numFmtId="0" fontId="23" fillId="0" borderId="0"/>
    <xf numFmtId="168" fontId="23" fillId="0" borderId="0" applyFont="0" applyFill="0" applyBorder="0" applyAlignment="0" applyProtection="0"/>
  </cellStyleXfs>
  <cellXfs count="203">
    <xf numFmtId="0" fontId="0" fillId="0" borderId="0" xfId="0"/>
    <xf numFmtId="0" fontId="2" fillId="0" borderId="0" xfId="0" applyFont="1"/>
    <xf numFmtId="0" fontId="4" fillId="0" borderId="2" xfId="2" applyFont="1" applyBorder="1" applyAlignment="1">
      <alignment horizontal="center"/>
    </xf>
    <xf numFmtId="0" fontId="5" fillId="0" borderId="2" xfId="2" applyFont="1" applyBorder="1" applyAlignment="1">
      <alignment horizontal="center"/>
    </xf>
    <xf numFmtId="0" fontId="4" fillId="0" borderId="6" xfId="2" applyFont="1" applyBorder="1" applyAlignment="1">
      <alignment horizontal="center"/>
    </xf>
    <xf numFmtId="0" fontId="5" fillId="0" borderId="6" xfId="2" applyFont="1" applyBorder="1" applyAlignment="1">
      <alignment horizontal="center"/>
    </xf>
    <xf numFmtId="0" fontId="4" fillId="0" borderId="7" xfId="2" applyFont="1" applyBorder="1" applyAlignment="1">
      <alignment horizontal="center"/>
    </xf>
    <xf numFmtId="165" fontId="4" fillId="0" borderId="1" xfId="2" applyNumberFormat="1" applyFont="1" applyBorder="1" applyAlignment="1">
      <alignment horizontal="center"/>
    </xf>
    <xf numFmtId="166" fontId="4" fillId="0" borderId="1" xfId="2" applyNumberFormat="1" applyFont="1" applyBorder="1" applyAlignment="1">
      <alignment horizontal="center"/>
    </xf>
    <xf numFmtId="166" fontId="4" fillId="0" borderId="8" xfId="2" applyNumberFormat="1" applyFont="1" applyBorder="1" applyAlignment="1">
      <alignment horizontal="center"/>
    </xf>
    <xf numFmtId="166" fontId="4" fillId="0" borderId="9" xfId="2" applyNumberFormat="1" applyFont="1" applyBorder="1" applyAlignment="1">
      <alignment horizontal="center"/>
    </xf>
    <xf numFmtId="0" fontId="0" fillId="0" borderId="10" xfId="0" applyBorder="1"/>
    <xf numFmtId="0" fontId="4" fillId="0" borderId="11" xfId="2" applyFont="1" applyBorder="1" applyAlignment="1">
      <alignment horizontal="center"/>
    </xf>
    <xf numFmtId="0" fontId="5" fillId="0" borderId="11" xfId="2" applyFont="1" applyBorder="1" applyAlignment="1">
      <alignment horizontal="center"/>
    </xf>
    <xf numFmtId="0" fontId="4" fillId="0" borderId="0" xfId="2" applyFont="1" applyAlignment="1">
      <alignment horizontal="center"/>
    </xf>
    <xf numFmtId="0" fontId="5" fillId="0" borderId="0" xfId="2" applyFont="1" applyAlignment="1">
      <alignment horizontal="center"/>
    </xf>
    <xf numFmtId="0" fontId="6" fillId="0" borderId="0" xfId="2" applyFont="1" applyAlignment="1">
      <alignment horizontal="center"/>
    </xf>
    <xf numFmtId="0" fontId="12" fillId="0" borderId="1" xfId="3" applyNumberFormat="1" applyFont="1" applyFill="1" applyBorder="1" applyAlignment="1" applyProtection="1">
      <alignment horizontal="center" vertical="top"/>
    </xf>
    <xf numFmtId="0" fontId="12" fillId="0" borderId="1" xfId="4" applyNumberFormat="1" applyFont="1" applyFill="1" applyBorder="1" applyAlignment="1" applyProtection="1">
      <alignment horizontal="center"/>
    </xf>
    <xf numFmtId="0" fontId="12" fillId="0" borderId="1" xfId="5" applyNumberFormat="1" applyFont="1" applyFill="1" applyBorder="1" applyAlignment="1" applyProtection="1">
      <alignment horizontal="center" vertical="center"/>
    </xf>
    <xf numFmtId="0" fontId="8" fillId="0" borderId="0" xfId="4" applyNumberFormat="1" applyFont="1" applyFill="1" applyBorder="1" applyAlignment="1" applyProtection="1">
      <alignment horizontal="center"/>
    </xf>
    <xf numFmtId="0" fontId="0" fillId="0" borderId="1" xfId="0" applyBorder="1"/>
    <xf numFmtId="0" fontId="0" fillId="0" borderId="11" xfId="0" applyBorder="1"/>
    <xf numFmtId="0" fontId="0" fillId="2" borderId="1" xfId="0" applyFill="1" applyBorder="1"/>
    <xf numFmtId="0" fontId="11" fillId="2" borderId="0" xfId="0" applyFont="1" applyFill="1" applyAlignment="1">
      <alignment horizontal="center"/>
    </xf>
    <xf numFmtId="0" fontId="13" fillId="0" borderId="1" xfId="3" applyNumberFormat="1" applyFont="1" applyFill="1" applyBorder="1" applyAlignment="1" applyProtection="1">
      <alignment horizontal="center" vertical="top"/>
    </xf>
    <xf numFmtId="0" fontId="13" fillId="2" borderId="1" xfId="3" applyNumberFormat="1" applyFont="1" applyFill="1" applyBorder="1" applyAlignment="1" applyProtection="1">
      <alignment horizontal="center" vertical="top"/>
    </xf>
    <xf numFmtId="166" fontId="8" fillId="0" borderId="1" xfId="7" applyNumberFormat="1" applyFont="1" applyBorder="1" applyAlignment="1">
      <alignment horizontal="center"/>
    </xf>
    <xf numFmtId="166" fontId="8" fillId="0" borderId="1" xfId="0" applyNumberFormat="1" applyFont="1" applyBorder="1" applyAlignment="1">
      <alignment horizontal="center"/>
    </xf>
    <xf numFmtId="0" fontId="0" fillId="0" borderId="18" xfId="0" applyBorder="1"/>
    <xf numFmtId="0" fontId="0" fillId="0" borderId="21" xfId="0" applyBorder="1"/>
    <xf numFmtId="166" fontId="8" fillId="0" borderId="21" xfId="0" applyNumberFormat="1" applyFon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166" fontId="8" fillId="0" borderId="21" xfId="7" applyNumberFormat="1" applyFont="1" applyBorder="1" applyAlignment="1">
      <alignment horizontal="center"/>
    </xf>
    <xf numFmtId="0" fontId="0" fillId="0" borderId="24" xfId="0" applyBorder="1"/>
    <xf numFmtId="49" fontId="8" fillId="0" borderId="1" xfId="7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/>
    </xf>
    <xf numFmtId="49" fontId="8" fillId="0" borderId="21" xfId="7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/>
    </xf>
    <xf numFmtId="166" fontId="14" fillId="0" borderId="1" xfId="0" applyNumberFormat="1" applyFont="1" applyBorder="1" applyAlignment="1">
      <alignment horizontal="center"/>
    </xf>
    <xf numFmtId="0" fontId="16" fillId="0" borderId="1" xfId="11" applyFont="1" applyBorder="1" applyAlignment="1">
      <alignment horizontal="center" vertical="center"/>
    </xf>
    <xf numFmtId="0" fontId="16" fillId="0" borderId="1" xfId="11" applyFont="1" applyBorder="1" applyAlignment="1">
      <alignment horizontal="center" vertical="center" wrapText="1"/>
    </xf>
    <xf numFmtId="2" fontId="10" fillId="0" borderId="1" xfId="11" applyNumberFormat="1" applyBorder="1" applyAlignment="1">
      <alignment horizontal="center" vertical="center"/>
    </xf>
    <xf numFmtId="0" fontId="11" fillId="2" borderId="1" xfId="0" applyFont="1" applyFill="1" applyBorder="1" applyAlignment="1">
      <alignment vertical="center"/>
    </xf>
    <xf numFmtId="0" fontId="14" fillId="0" borderId="1" xfId="0" applyFont="1" applyBorder="1" applyAlignment="1">
      <alignment vertical="center"/>
    </xf>
    <xf numFmtId="0" fontId="0" fillId="0" borderId="1" xfId="0" applyBorder="1" applyAlignment="1">
      <alignment horizontal="center"/>
    </xf>
    <xf numFmtId="0" fontId="16" fillId="2" borderId="1" xfId="11" applyFont="1" applyFill="1" applyBorder="1" applyAlignment="1">
      <alignment horizontal="center" vertical="center" wrapText="1"/>
    </xf>
    <xf numFmtId="0" fontId="17" fillId="2" borderId="1" xfId="11" applyFont="1" applyFill="1" applyBorder="1" applyAlignment="1">
      <alignment horizontal="center" vertical="center" wrapText="1"/>
    </xf>
    <xf numFmtId="0" fontId="0" fillId="2" borderId="0" xfId="0" applyFill="1"/>
    <xf numFmtId="49" fontId="0" fillId="0" borderId="0" xfId="0" applyNumberFormat="1"/>
    <xf numFmtId="0" fontId="0" fillId="0" borderId="1" xfId="0" applyBorder="1" applyAlignment="1">
      <alignment horizontal="center" vertical="center"/>
    </xf>
    <xf numFmtId="0" fontId="19" fillId="0" borderId="1" xfId="13" applyNumberFormat="1" applyFont="1" applyFill="1" applyBorder="1" applyAlignment="1" applyProtection="1">
      <alignment horizontal="center"/>
    </xf>
    <xf numFmtId="166" fontId="0" fillId="0" borderId="1" xfId="0" applyNumberFormat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6" fillId="5" borderId="1" xfId="11" applyFont="1" applyFill="1" applyBorder="1" applyAlignment="1">
      <alignment horizontal="center" vertical="center" wrapText="1"/>
    </xf>
    <xf numFmtId="0" fontId="20" fillId="5" borderId="1" xfId="0" applyFont="1" applyFill="1" applyBorder="1" applyAlignment="1">
      <alignment horizontal="center"/>
    </xf>
    <xf numFmtId="0" fontId="10" fillId="5" borderId="1" xfId="11" applyFill="1" applyBorder="1" applyAlignment="1">
      <alignment horizontal="center" vertical="center"/>
    </xf>
    <xf numFmtId="0" fontId="0" fillId="5" borderId="1" xfId="11" applyFont="1" applyFill="1" applyBorder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11" fillId="0" borderId="0" xfId="0" applyFont="1"/>
    <xf numFmtId="0" fontId="11" fillId="5" borderId="0" xfId="0" applyFont="1" applyFill="1"/>
    <xf numFmtId="0" fontId="11" fillId="4" borderId="0" xfId="0" applyFont="1" applyFill="1"/>
    <xf numFmtId="0" fontId="11" fillId="0" borderId="1" xfId="0" applyFont="1" applyBorder="1"/>
    <xf numFmtId="0" fontId="0" fillId="3" borderId="1" xfId="0" applyFill="1" applyBorder="1"/>
    <xf numFmtId="0" fontId="0" fillId="6" borderId="1" xfId="0" applyFill="1" applyBorder="1"/>
    <xf numFmtId="2" fontId="2" fillId="0" borderId="1" xfId="16" applyNumberFormat="1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/>
    </xf>
    <xf numFmtId="1" fontId="23" fillId="0" borderId="1" xfId="15" applyNumberFormat="1" applyBorder="1" applyAlignment="1">
      <alignment horizontal="center" vertical="center"/>
    </xf>
    <xf numFmtId="166" fontId="23" fillId="0" borderId="1" xfId="15" applyNumberForma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/>
    <xf numFmtId="2" fontId="12" fillId="0" borderId="1" xfId="0" applyNumberFormat="1" applyFont="1" applyBorder="1" applyAlignment="1">
      <alignment horizontal="center"/>
    </xf>
    <xf numFmtId="0" fontId="13" fillId="0" borderId="0" xfId="3" applyNumberFormat="1" applyFont="1" applyFill="1" applyBorder="1" applyAlignment="1" applyProtection="1">
      <alignment horizontal="center" vertical="top"/>
    </xf>
    <xf numFmtId="1" fontId="8" fillId="0" borderId="1" xfId="0" applyNumberFormat="1" applyFont="1" applyBorder="1" applyAlignment="1">
      <alignment horizontal="center"/>
    </xf>
    <xf numFmtId="1" fontId="8" fillId="0" borderId="1" xfId="6" applyNumberFormat="1" applyFont="1" applyFill="1" applyBorder="1" applyAlignment="1">
      <alignment horizontal="center" vertical="center" shrinkToFit="1"/>
    </xf>
    <xf numFmtId="1" fontId="8" fillId="0" borderId="21" xfId="0" applyNumberFormat="1" applyFont="1" applyBorder="1" applyAlignment="1">
      <alignment horizontal="center"/>
    </xf>
    <xf numFmtId="1" fontId="8" fillId="0" borderId="21" xfId="7" applyNumberFormat="1" applyFont="1" applyBorder="1" applyAlignment="1">
      <alignment horizontal="center"/>
    </xf>
    <xf numFmtId="1" fontId="8" fillId="0" borderId="1" xfId="7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22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18" fillId="2" borderId="7" xfId="0" applyFont="1" applyFill="1" applyBorder="1" applyAlignment="1">
      <alignment horizontal="center" vertical="center" wrapText="1"/>
    </xf>
    <xf numFmtId="2" fontId="0" fillId="7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7" fontId="0" fillId="7" borderId="1" xfId="0" applyNumberFormat="1" applyFill="1" applyBorder="1" applyAlignment="1">
      <alignment horizontal="center" vertical="center"/>
    </xf>
    <xf numFmtId="167" fontId="23" fillId="7" borderId="1" xfId="14" applyNumberFormat="1" applyFont="1" applyFill="1" applyBorder="1" applyAlignment="1" applyProtection="1">
      <alignment horizontal="center" vertical="center"/>
    </xf>
    <xf numFmtId="0" fontId="10" fillId="0" borderId="1" xfId="10" applyBorder="1" applyAlignment="1">
      <alignment horizontal="center" vertical="center"/>
    </xf>
    <xf numFmtId="2" fontId="10" fillId="7" borderId="1" xfId="10" applyNumberFormat="1" applyFill="1" applyBorder="1" applyAlignment="1">
      <alignment horizontal="center" vertical="center"/>
    </xf>
    <xf numFmtId="2" fontId="10" fillId="0" borderId="1" xfId="10" applyNumberFormat="1" applyBorder="1" applyAlignment="1">
      <alignment horizontal="center" vertical="center"/>
    </xf>
    <xf numFmtId="167" fontId="10" fillId="7" borderId="1" xfId="10" applyNumberFormat="1" applyFill="1" applyBorder="1" applyAlignment="1">
      <alignment horizontal="center" vertical="center"/>
    </xf>
    <xf numFmtId="167" fontId="23" fillId="7" borderId="1" xfId="17" applyNumberFormat="1" applyFont="1" applyFill="1" applyBorder="1" applyAlignment="1" applyProtection="1">
      <alignment horizontal="center" vertical="center"/>
    </xf>
    <xf numFmtId="0" fontId="0" fillId="0" borderId="11" xfId="0" applyBorder="1" applyAlignment="1">
      <alignment horizontal="center" vertical="center"/>
    </xf>
    <xf numFmtId="2" fontId="0" fillId="7" borderId="11" xfId="0" applyNumberFormat="1" applyFill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67" fontId="0" fillId="7" borderId="11" xfId="0" applyNumberForma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" fontId="0" fillId="7" borderId="21" xfId="0" applyNumberFormat="1" applyFill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167" fontId="0" fillId="7" borderId="21" xfId="0" applyNumberFormat="1" applyFill="1" applyBorder="1" applyAlignment="1">
      <alignment horizontal="center" vertical="center"/>
    </xf>
    <xf numFmtId="0" fontId="0" fillId="0" borderId="22" xfId="0" applyBorder="1" applyAlignment="1">
      <alignment horizontal="center"/>
    </xf>
    <xf numFmtId="2" fontId="0" fillId="0" borderId="22" xfId="0" applyNumberFormat="1" applyBorder="1" applyAlignment="1">
      <alignment horizontal="center"/>
    </xf>
    <xf numFmtId="167" fontId="0" fillId="0" borderId="22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/>
    <xf numFmtId="0" fontId="0" fillId="0" borderId="15" xfId="0" applyBorder="1"/>
    <xf numFmtId="49" fontId="0" fillId="0" borderId="15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2" fontId="0" fillId="0" borderId="15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10" fillId="0" borderId="21" xfId="10" applyBorder="1" applyAlignment="1">
      <alignment horizontal="center" vertical="center"/>
    </xf>
    <xf numFmtId="2" fontId="10" fillId="7" borderId="21" xfId="10" applyNumberFormat="1" applyFill="1" applyBorder="1" applyAlignment="1">
      <alignment horizontal="center" vertical="center"/>
    </xf>
    <xf numFmtId="2" fontId="10" fillId="0" borderId="21" xfId="10" applyNumberFormat="1" applyBorder="1" applyAlignment="1">
      <alignment horizontal="center" vertical="center"/>
    </xf>
    <xf numFmtId="167" fontId="10" fillId="7" borderId="21" xfId="10" applyNumberFormat="1" applyFill="1" applyBorder="1" applyAlignment="1">
      <alignment horizontal="center" vertical="center"/>
    </xf>
    <xf numFmtId="0" fontId="10" fillId="0" borderId="22" xfId="10" applyBorder="1" applyAlignment="1">
      <alignment horizontal="center"/>
    </xf>
    <xf numFmtId="2" fontId="10" fillId="0" borderId="22" xfId="10" applyNumberFormat="1" applyBorder="1" applyAlignment="1">
      <alignment horizontal="center"/>
    </xf>
    <xf numFmtId="167" fontId="10" fillId="0" borderId="22" xfId="1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22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0" fontId="0" fillId="8" borderId="18" xfId="0" applyFill="1" applyBorder="1" applyAlignment="1">
      <alignment horizontal="center" vertical="center" wrapText="1"/>
    </xf>
    <xf numFmtId="0" fontId="0" fillId="8" borderId="21" xfId="0" quotePrefix="1" applyFill="1" applyBorder="1" applyAlignment="1">
      <alignment horizontal="center" vertical="center" wrapText="1"/>
    </xf>
    <xf numFmtId="0" fontId="0" fillId="8" borderId="28" xfId="0" quotePrefix="1" applyFill="1" applyBorder="1" applyAlignment="1">
      <alignment horizontal="center" vertical="center" wrapText="1"/>
    </xf>
    <xf numFmtId="0" fontId="0" fillId="8" borderId="21" xfId="0" applyFill="1" applyBorder="1" applyAlignment="1">
      <alignment horizontal="center" vertical="center" wrapText="1"/>
    </xf>
    <xf numFmtId="0" fontId="0" fillId="8" borderId="29" xfId="0" quotePrefix="1" applyFill="1" applyBorder="1" applyAlignment="1">
      <alignment horizontal="center" vertical="center" wrapText="1"/>
    </xf>
    <xf numFmtId="0" fontId="0" fillId="8" borderId="18" xfId="0" quotePrefix="1" applyFill="1" applyBorder="1" applyAlignment="1">
      <alignment horizontal="center" vertical="center" wrapText="1"/>
    </xf>
    <xf numFmtId="0" fontId="0" fillId="8" borderId="21" xfId="0" applyFill="1" applyBorder="1" applyAlignment="1">
      <alignment horizontal="center" vertical="center"/>
    </xf>
    <xf numFmtId="0" fontId="0" fillId="0" borderId="12" xfId="0" applyBorder="1"/>
    <xf numFmtId="0" fontId="0" fillId="0" borderId="0" xfId="0" applyAlignment="1">
      <alignment horizontal="center" wrapText="1"/>
    </xf>
    <xf numFmtId="0" fontId="13" fillId="9" borderId="1" xfId="3" applyNumberFormat="1" applyFont="1" applyFill="1" applyBorder="1" applyAlignment="1" applyProtection="1">
      <alignment horizontal="center" vertical="top"/>
    </xf>
    <xf numFmtId="0" fontId="11" fillId="9" borderId="1" xfId="0" applyFont="1" applyFill="1" applyBorder="1" applyAlignment="1">
      <alignment horizontal="center"/>
    </xf>
    <xf numFmtId="0" fontId="22" fillId="0" borderId="0" xfId="0" applyFont="1"/>
    <xf numFmtId="0" fontId="12" fillId="3" borderId="1" xfId="3" applyNumberFormat="1" applyFont="1" applyFill="1" applyBorder="1" applyAlignment="1" applyProtection="1">
      <alignment horizontal="center" vertical="top"/>
    </xf>
    <xf numFmtId="0" fontId="12" fillId="3" borderId="1" xfId="4" applyNumberFormat="1" applyFont="1" applyFill="1" applyBorder="1" applyAlignment="1" applyProtection="1">
      <alignment horizontal="center"/>
    </xf>
    <xf numFmtId="0" fontId="12" fillId="0" borderId="0" xfId="0" applyFont="1"/>
    <xf numFmtId="0" fontId="24" fillId="0" borderId="0" xfId="0" applyFont="1" applyAlignment="1">
      <alignment horizontal="center"/>
    </xf>
    <xf numFmtId="0" fontId="0" fillId="9" borderId="0" xfId="0" applyFill="1"/>
    <xf numFmtId="0" fontId="11" fillId="0" borderId="6" xfId="0" applyFont="1" applyBorder="1"/>
    <xf numFmtId="49" fontId="0" fillId="0" borderId="1" xfId="0" applyNumberFormat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49" fontId="0" fillId="0" borderId="30" xfId="0" applyNumberFormat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49" fontId="0" fillId="0" borderId="32" xfId="0" applyNumberFormat="1" applyBorder="1" applyAlignment="1">
      <alignment horizontal="center" vertical="center" wrapText="1"/>
    </xf>
    <xf numFmtId="49" fontId="0" fillId="0" borderId="33" xfId="0" applyNumberFormat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/>
    </xf>
    <xf numFmtId="2" fontId="2" fillId="2" borderId="1" xfId="16" applyNumberFormat="1" applyFont="1" applyFill="1" applyBorder="1" applyAlignment="1">
      <alignment horizontal="center" vertical="center" wrapText="1"/>
    </xf>
    <xf numFmtId="1" fontId="23" fillId="2" borderId="1" xfId="15" applyNumberFormat="1" applyFill="1" applyBorder="1" applyAlignment="1">
      <alignment horizontal="center" vertical="center"/>
    </xf>
    <xf numFmtId="166" fontId="23" fillId="2" borderId="1" xfId="15" applyNumberForma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2" fontId="12" fillId="2" borderId="1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2" fillId="2" borderId="0" xfId="0" applyFont="1" applyFill="1"/>
    <xf numFmtId="0" fontId="22" fillId="2" borderId="0" xfId="0" applyFont="1" applyFill="1"/>
    <xf numFmtId="0" fontId="12" fillId="2" borderId="1" xfId="5" applyNumberFormat="1" applyFont="1" applyFill="1" applyBorder="1" applyAlignment="1" applyProtection="1">
      <alignment horizontal="center" vertical="center"/>
    </xf>
    <xf numFmtId="0" fontId="0" fillId="10" borderId="1" xfId="0" applyFill="1" applyBorder="1"/>
    <xf numFmtId="0" fontId="0" fillId="11" borderId="1" xfId="0" applyFill="1" applyBorder="1"/>
    <xf numFmtId="0" fontId="0" fillId="9" borderId="1" xfId="0" applyFill="1" applyBorder="1"/>
    <xf numFmtId="0" fontId="0" fillId="12" borderId="1" xfId="0" applyFill="1" applyBorder="1"/>
    <xf numFmtId="0" fontId="0" fillId="14" borderId="1" xfId="0" applyFill="1" applyBorder="1"/>
    <xf numFmtId="0" fontId="0" fillId="13" borderId="1" xfId="0" applyFill="1" applyBorder="1"/>
    <xf numFmtId="0" fontId="0" fillId="0" borderId="0" xfId="0" applyAlignment="1">
      <alignment horizontal="left"/>
    </xf>
    <xf numFmtId="2" fontId="0" fillId="0" borderId="1" xfId="0" applyNumberFormat="1" applyBorder="1"/>
    <xf numFmtId="2" fontId="0" fillId="0" borderId="7" xfId="0" applyNumberFormat="1" applyBorder="1"/>
    <xf numFmtId="0" fontId="0" fillId="15" borderId="1" xfId="0" applyFill="1" applyBorder="1"/>
    <xf numFmtId="0" fontId="6" fillId="0" borderId="3" xfId="2" applyFont="1" applyBorder="1" applyAlignment="1">
      <alignment horizontal="center"/>
    </xf>
    <xf numFmtId="0" fontId="6" fillId="0" borderId="4" xfId="2" applyFont="1" applyBorder="1" applyAlignment="1">
      <alignment horizontal="center"/>
    </xf>
    <xf numFmtId="0" fontId="6" fillId="0" borderId="5" xfId="2" applyFont="1" applyBorder="1" applyAlignment="1">
      <alignment horizontal="center"/>
    </xf>
    <xf numFmtId="0" fontId="6" fillId="0" borderId="8" xfId="2" applyFont="1" applyBorder="1" applyAlignment="1">
      <alignment horizontal="center"/>
    </xf>
    <xf numFmtId="0" fontId="6" fillId="0" borderId="12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 vertical="center" wrapText="1"/>
    </xf>
    <xf numFmtId="0" fontId="13" fillId="0" borderId="1" xfId="3" applyNumberFormat="1" applyFont="1" applyFill="1" applyBorder="1" applyAlignment="1" applyProtection="1">
      <alignment horizontal="center" vertical="top"/>
    </xf>
    <xf numFmtId="0" fontId="13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24" fillId="0" borderId="14" xfId="0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11" fillId="3" borderId="0" xfId="0" applyFont="1" applyFill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8" fillId="0" borderId="10" xfId="4" applyNumberFormat="1" applyFont="1" applyFill="1" applyBorder="1" applyAlignment="1" applyProtection="1">
      <alignment horizontal="center"/>
    </xf>
    <xf numFmtId="0" fontId="11" fillId="0" borderId="1" xfId="0" applyFont="1" applyBorder="1" applyAlignment="1">
      <alignment horizontal="center" vertical="center" wrapText="1"/>
    </xf>
    <xf numFmtId="0" fontId="14" fillId="0" borderId="26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</cellXfs>
  <cellStyles count="18">
    <cellStyle name="Normal_Report 16 U-Wintoy" xfId="8" xr:uid="{00000000-0005-0000-0000-000000000000}"/>
    <cellStyle name="Обычный" xfId="0" builtinId="0"/>
    <cellStyle name="Обычный 2" xfId="10" xr:uid="{00000000-0005-0000-0000-000002000000}"/>
    <cellStyle name="Обычный 2 11" xfId="11" xr:uid="{00000000-0005-0000-0000-000003000000}"/>
    <cellStyle name="Обычный 2 2 2" xfId="12" xr:uid="{00000000-0005-0000-0000-000004000000}"/>
    <cellStyle name="Обычный 3" xfId="9" xr:uid="{00000000-0005-0000-0000-000005000000}"/>
    <cellStyle name="Обычный 5" xfId="1" xr:uid="{00000000-0005-0000-0000-000006000000}"/>
    <cellStyle name="Обычный_11430 Сар-Русскинское     " xfId="16" xr:uid="{27BFDCBF-6405-4893-8728-9B618DA60C5E}"/>
    <cellStyle name="Обычный_1662-Повховское    " xfId="15" xr:uid="{7336CB73-5579-41F8-98F9-0CA959DB3844}"/>
    <cellStyle name="Обычный_Капилляр. 2" xfId="5" xr:uid="{00000000-0005-0000-0000-000008000000}"/>
    <cellStyle name="Обычный_Лист1" xfId="13" xr:uid="{00000000-0005-0000-0000-000009000000}"/>
    <cellStyle name="Обычный_Лист3" xfId="4" xr:uid="{00000000-0005-0000-0000-00000A000000}"/>
    <cellStyle name="Обычный_Лист4" xfId="3" xr:uid="{00000000-0005-0000-0000-00000B000000}"/>
    <cellStyle name="Обычный_ОSHKOT" xfId="2" xr:uid="{00000000-0005-0000-0000-00000E000000}"/>
    <cellStyle name="Обычный_Подбор_ сдача 2012_Урай - копия" xfId="7" xr:uid="{00000000-0005-0000-0000-00000F000000}"/>
    <cellStyle name="Финансовый" xfId="6" builtinId="3"/>
    <cellStyle name="Финансовый [0]" xfId="14" builtinId="6"/>
    <cellStyle name="Финансовый [0] 2" xfId="17" xr:uid="{0599E266-8E8D-4CCA-BC08-4308734CDA46}"/>
  </cellStyles>
  <dxfs count="0"/>
  <tableStyles count="0" defaultTableStyle="TableStyleMedium2" defaultPivotStyle="PivotStyleLight16"/>
  <colors>
    <mruColors>
      <color rgb="FFCC0099"/>
      <color rgb="FF00FF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ККД!$E$4</c:f>
              <c:strCache>
                <c:ptCount val="1"/>
                <c:pt idx="0">
                  <c:v>38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ККД!$G$4:$P$4</c:f>
              <c:numCache>
                <c:formatCode>General</c:formatCode>
                <c:ptCount val="10"/>
                <c:pt idx="0">
                  <c:v>100</c:v>
                </c:pt>
                <c:pt idx="1">
                  <c:v>96.13</c:v>
                </c:pt>
                <c:pt idx="2">
                  <c:v>95.13</c:v>
                </c:pt>
                <c:pt idx="3">
                  <c:v>93.1</c:v>
                </c:pt>
                <c:pt idx="4">
                  <c:v>89.29</c:v>
                </c:pt>
                <c:pt idx="5">
                  <c:v>81.099999999999994</c:v>
                </c:pt>
                <c:pt idx="6">
                  <c:v>72.040000000000006</c:v>
                </c:pt>
                <c:pt idx="7">
                  <c:v>64.739999999999995</c:v>
                </c:pt>
                <c:pt idx="8">
                  <c:v>59.34</c:v>
                </c:pt>
                <c:pt idx="9">
                  <c:v>56.31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F1-41DA-B538-042C6DD3B670}"/>
            </c:ext>
          </c:extLst>
        </c:ser>
        <c:ser>
          <c:idx val="1"/>
          <c:order val="1"/>
          <c:tx>
            <c:strRef>
              <c:f>ККД!$E$5</c:f>
              <c:strCache>
                <c:ptCount val="1"/>
                <c:pt idx="0">
                  <c:v>16.8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ККД!$G$5:$P$5</c:f>
              <c:numCache>
                <c:formatCode>General</c:formatCode>
                <c:ptCount val="10"/>
                <c:pt idx="0">
                  <c:v>100</c:v>
                </c:pt>
                <c:pt idx="1">
                  <c:v>96.28</c:v>
                </c:pt>
                <c:pt idx="2">
                  <c:v>95.4</c:v>
                </c:pt>
                <c:pt idx="3">
                  <c:v>94.5</c:v>
                </c:pt>
                <c:pt idx="4">
                  <c:v>92.4</c:v>
                </c:pt>
                <c:pt idx="5">
                  <c:v>88.74</c:v>
                </c:pt>
                <c:pt idx="6">
                  <c:v>79.58</c:v>
                </c:pt>
                <c:pt idx="7">
                  <c:v>71.16</c:v>
                </c:pt>
                <c:pt idx="8">
                  <c:v>65.42</c:v>
                </c:pt>
                <c:pt idx="9">
                  <c:v>62.01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F1-41DA-B538-042C6DD3B670}"/>
            </c:ext>
          </c:extLst>
        </c:ser>
        <c:ser>
          <c:idx val="2"/>
          <c:order val="2"/>
          <c:tx>
            <c:strRef>
              <c:f>ККД!$E$6</c:f>
              <c:strCache>
                <c:ptCount val="1"/>
                <c:pt idx="0">
                  <c:v>12.3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ККД!$G$6:$P$6</c:f>
              <c:numCache>
                <c:formatCode>General</c:formatCode>
                <c:ptCount val="10"/>
                <c:pt idx="0">
                  <c:v>100</c:v>
                </c:pt>
                <c:pt idx="1">
                  <c:v>97.49</c:v>
                </c:pt>
                <c:pt idx="2">
                  <c:v>96.49</c:v>
                </c:pt>
                <c:pt idx="3">
                  <c:v>95.23</c:v>
                </c:pt>
                <c:pt idx="4">
                  <c:v>93.53</c:v>
                </c:pt>
                <c:pt idx="5">
                  <c:v>89.53</c:v>
                </c:pt>
                <c:pt idx="6">
                  <c:v>82.04</c:v>
                </c:pt>
                <c:pt idx="7">
                  <c:v>72.66</c:v>
                </c:pt>
                <c:pt idx="8">
                  <c:v>65.900000000000006</c:v>
                </c:pt>
                <c:pt idx="9">
                  <c:v>62.9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F1-41DA-B538-042C6DD3B670}"/>
            </c:ext>
          </c:extLst>
        </c:ser>
        <c:ser>
          <c:idx val="3"/>
          <c:order val="3"/>
          <c:tx>
            <c:strRef>
              <c:f>ККД!$E$7</c:f>
              <c:strCache>
                <c:ptCount val="1"/>
                <c:pt idx="0">
                  <c:v>51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ККД!$G$7:$P$7</c:f>
              <c:numCache>
                <c:formatCode>General</c:formatCode>
                <c:ptCount val="10"/>
                <c:pt idx="0">
                  <c:v>100</c:v>
                </c:pt>
                <c:pt idx="1">
                  <c:v>94.43</c:v>
                </c:pt>
                <c:pt idx="2">
                  <c:v>93.4</c:v>
                </c:pt>
                <c:pt idx="3">
                  <c:v>91.48</c:v>
                </c:pt>
                <c:pt idx="4">
                  <c:v>85.23</c:v>
                </c:pt>
                <c:pt idx="5">
                  <c:v>75.489999999999995</c:v>
                </c:pt>
                <c:pt idx="6">
                  <c:v>66.59</c:v>
                </c:pt>
                <c:pt idx="7">
                  <c:v>60.4</c:v>
                </c:pt>
                <c:pt idx="8">
                  <c:v>56.4</c:v>
                </c:pt>
                <c:pt idx="9">
                  <c:v>54.3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F1-41DA-B538-042C6DD3B670}"/>
            </c:ext>
          </c:extLst>
        </c:ser>
        <c:ser>
          <c:idx val="4"/>
          <c:order val="4"/>
          <c:tx>
            <c:strRef>
              <c:f>ККД!$E$8</c:f>
              <c:strCache>
                <c:ptCount val="1"/>
                <c:pt idx="0">
                  <c:v>38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ККД!$G$8:$P$8</c:f>
              <c:numCache>
                <c:formatCode>General</c:formatCode>
                <c:ptCount val="10"/>
                <c:pt idx="0">
                  <c:v>100</c:v>
                </c:pt>
                <c:pt idx="1">
                  <c:v>94.7</c:v>
                </c:pt>
                <c:pt idx="2">
                  <c:v>93.7</c:v>
                </c:pt>
                <c:pt idx="3">
                  <c:v>92.25</c:v>
                </c:pt>
                <c:pt idx="4">
                  <c:v>89.04</c:v>
                </c:pt>
                <c:pt idx="5">
                  <c:v>79.349999999999994</c:v>
                </c:pt>
                <c:pt idx="6">
                  <c:v>69.12</c:v>
                </c:pt>
                <c:pt idx="7">
                  <c:v>61.31</c:v>
                </c:pt>
                <c:pt idx="8">
                  <c:v>56.15</c:v>
                </c:pt>
                <c:pt idx="9">
                  <c:v>53.15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4F1-41DA-B538-042C6DD3B670}"/>
            </c:ext>
          </c:extLst>
        </c:ser>
        <c:ser>
          <c:idx val="5"/>
          <c:order val="5"/>
          <c:tx>
            <c:strRef>
              <c:f>ККД!$E$9</c:f>
              <c:strCache>
                <c:ptCount val="1"/>
                <c:pt idx="0">
                  <c:v>165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ККД!$G$9:$P$9</c:f>
              <c:numCache>
                <c:formatCode>General</c:formatCode>
                <c:ptCount val="10"/>
                <c:pt idx="0">
                  <c:v>100</c:v>
                </c:pt>
                <c:pt idx="1">
                  <c:v>97.2</c:v>
                </c:pt>
                <c:pt idx="2">
                  <c:v>94.89</c:v>
                </c:pt>
                <c:pt idx="3">
                  <c:v>87.19</c:v>
                </c:pt>
                <c:pt idx="4">
                  <c:v>74.05</c:v>
                </c:pt>
                <c:pt idx="5">
                  <c:v>61.29</c:v>
                </c:pt>
                <c:pt idx="6">
                  <c:v>51.32</c:v>
                </c:pt>
                <c:pt idx="7">
                  <c:v>43.95</c:v>
                </c:pt>
                <c:pt idx="8">
                  <c:v>38.44</c:v>
                </c:pt>
                <c:pt idx="9">
                  <c:v>34.54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4F1-41DA-B538-042C6DD3B670}"/>
            </c:ext>
          </c:extLst>
        </c:ser>
        <c:ser>
          <c:idx val="6"/>
          <c:order val="6"/>
          <c:tx>
            <c:strRef>
              <c:f>ККД!$E$10</c:f>
              <c:strCache>
                <c:ptCount val="1"/>
                <c:pt idx="0">
                  <c:v>19.4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ККД!$G$10:$P$10</c:f>
              <c:numCache>
                <c:formatCode>General</c:formatCode>
                <c:ptCount val="10"/>
                <c:pt idx="0">
                  <c:v>100</c:v>
                </c:pt>
                <c:pt idx="1">
                  <c:v>97.03</c:v>
                </c:pt>
                <c:pt idx="2">
                  <c:v>96.03</c:v>
                </c:pt>
                <c:pt idx="3">
                  <c:v>94.74</c:v>
                </c:pt>
                <c:pt idx="4">
                  <c:v>92.08</c:v>
                </c:pt>
                <c:pt idx="5">
                  <c:v>85.11</c:v>
                </c:pt>
                <c:pt idx="6">
                  <c:v>74.040000000000006</c:v>
                </c:pt>
                <c:pt idx="7">
                  <c:v>65.66</c:v>
                </c:pt>
                <c:pt idx="8">
                  <c:v>59.26</c:v>
                </c:pt>
                <c:pt idx="9">
                  <c:v>54.67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4F1-41DA-B538-042C6DD3B670}"/>
            </c:ext>
          </c:extLst>
        </c:ser>
        <c:ser>
          <c:idx val="7"/>
          <c:order val="7"/>
          <c:tx>
            <c:strRef>
              <c:f>ККД!$E$11</c:f>
              <c:strCache>
                <c:ptCount val="1"/>
                <c:pt idx="0">
                  <c:v>42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ККД!$G$11:$P$11</c:f>
              <c:numCache>
                <c:formatCode>General</c:formatCode>
                <c:ptCount val="10"/>
                <c:pt idx="0">
                  <c:v>100</c:v>
                </c:pt>
                <c:pt idx="1">
                  <c:v>94.22</c:v>
                </c:pt>
                <c:pt idx="2">
                  <c:v>93.22</c:v>
                </c:pt>
                <c:pt idx="3">
                  <c:v>91.54</c:v>
                </c:pt>
                <c:pt idx="4">
                  <c:v>87.09</c:v>
                </c:pt>
                <c:pt idx="5">
                  <c:v>75.56</c:v>
                </c:pt>
                <c:pt idx="6">
                  <c:v>63.86</c:v>
                </c:pt>
                <c:pt idx="7">
                  <c:v>54.65</c:v>
                </c:pt>
                <c:pt idx="8">
                  <c:v>48.12</c:v>
                </c:pt>
                <c:pt idx="9">
                  <c:v>45.12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4F1-41DA-B538-042C6DD3B670}"/>
            </c:ext>
          </c:extLst>
        </c:ser>
        <c:ser>
          <c:idx val="8"/>
          <c:order val="8"/>
          <c:tx>
            <c:strRef>
              <c:f>ККД!$E$12</c:f>
              <c:strCache>
                <c:ptCount val="1"/>
                <c:pt idx="0">
                  <c:v>39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ККД!$G$12:$P$12</c:f>
              <c:numCache>
                <c:formatCode>General</c:formatCode>
                <c:ptCount val="10"/>
                <c:pt idx="0">
                  <c:v>100</c:v>
                </c:pt>
                <c:pt idx="1">
                  <c:v>94.67</c:v>
                </c:pt>
                <c:pt idx="2">
                  <c:v>93.67</c:v>
                </c:pt>
                <c:pt idx="3">
                  <c:v>91.57</c:v>
                </c:pt>
                <c:pt idx="4">
                  <c:v>87.96</c:v>
                </c:pt>
                <c:pt idx="5">
                  <c:v>81.069999999999993</c:v>
                </c:pt>
                <c:pt idx="6">
                  <c:v>71.95</c:v>
                </c:pt>
                <c:pt idx="7">
                  <c:v>64.489999999999995</c:v>
                </c:pt>
                <c:pt idx="8">
                  <c:v>59.39</c:v>
                </c:pt>
                <c:pt idx="9">
                  <c:v>56.39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4F1-41DA-B538-042C6DD3B670}"/>
            </c:ext>
          </c:extLst>
        </c:ser>
        <c:ser>
          <c:idx val="9"/>
          <c:order val="9"/>
          <c:tx>
            <c:strRef>
              <c:f>ККД!$E$13</c:f>
              <c:strCache>
                <c:ptCount val="1"/>
                <c:pt idx="0">
                  <c:v>68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ККД!$G$13:$P$13</c:f>
              <c:numCache>
                <c:formatCode>General</c:formatCode>
                <c:ptCount val="10"/>
                <c:pt idx="0">
                  <c:v>100</c:v>
                </c:pt>
                <c:pt idx="1">
                  <c:v>97.8</c:v>
                </c:pt>
                <c:pt idx="2">
                  <c:v>95.93</c:v>
                </c:pt>
                <c:pt idx="3">
                  <c:v>92.1</c:v>
                </c:pt>
                <c:pt idx="4">
                  <c:v>84.15</c:v>
                </c:pt>
                <c:pt idx="5">
                  <c:v>74.790000000000006</c:v>
                </c:pt>
                <c:pt idx="6">
                  <c:v>66.27</c:v>
                </c:pt>
                <c:pt idx="7">
                  <c:v>60.57</c:v>
                </c:pt>
                <c:pt idx="8">
                  <c:v>56.62</c:v>
                </c:pt>
                <c:pt idx="9">
                  <c:v>54.09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4F1-41DA-B538-042C6DD3B670}"/>
            </c:ext>
          </c:extLst>
        </c:ser>
        <c:ser>
          <c:idx val="10"/>
          <c:order val="10"/>
          <c:tx>
            <c:strRef>
              <c:f>ККД!$E$14</c:f>
              <c:strCache>
                <c:ptCount val="1"/>
                <c:pt idx="0">
                  <c:v>6.1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ККД!$G$14:$P$14</c:f>
              <c:numCache>
                <c:formatCode>General</c:formatCode>
                <c:ptCount val="10"/>
                <c:pt idx="0">
                  <c:v>100</c:v>
                </c:pt>
                <c:pt idx="1">
                  <c:v>97.86</c:v>
                </c:pt>
                <c:pt idx="2">
                  <c:v>97.2</c:v>
                </c:pt>
                <c:pt idx="3">
                  <c:v>96.4</c:v>
                </c:pt>
                <c:pt idx="4">
                  <c:v>95.3</c:v>
                </c:pt>
                <c:pt idx="5">
                  <c:v>92</c:v>
                </c:pt>
                <c:pt idx="6">
                  <c:v>85.91</c:v>
                </c:pt>
                <c:pt idx="7">
                  <c:v>78.099999999999994</c:v>
                </c:pt>
                <c:pt idx="8">
                  <c:v>73.599999999999994</c:v>
                </c:pt>
                <c:pt idx="9">
                  <c:v>71.06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4F1-41DA-B538-042C6DD3B670}"/>
            </c:ext>
          </c:extLst>
        </c:ser>
        <c:ser>
          <c:idx val="11"/>
          <c:order val="11"/>
          <c:tx>
            <c:strRef>
              <c:f>ККД!$E$15</c:f>
              <c:strCache>
                <c:ptCount val="1"/>
                <c:pt idx="0">
                  <c:v>8.2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ККД!$G$15:$P$15</c:f>
              <c:numCache>
                <c:formatCode>General</c:formatCode>
                <c:ptCount val="10"/>
                <c:pt idx="0">
                  <c:v>100</c:v>
                </c:pt>
                <c:pt idx="1">
                  <c:v>97.01</c:v>
                </c:pt>
                <c:pt idx="2">
                  <c:v>96.1</c:v>
                </c:pt>
                <c:pt idx="3">
                  <c:v>94.9</c:v>
                </c:pt>
                <c:pt idx="4">
                  <c:v>93.39</c:v>
                </c:pt>
                <c:pt idx="5">
                  <c:v>90.39</c:v>
                </c:pt>
                <c:pt idx="6">
                  <c:v>81.81</c:v>
                </c:pt>
                <c:pt idx="7">
                  <c:v>73.06</c:v>
                </c:pt>
                <c:pt idx="8">
                  <c:v>65.739999999999995</c:v>
                </c:pt>
                <c:pt idx="9">
                  <c:v>61.89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4F1-41DA-B538-042C6DD3B670}"/>
            </c:ext>
          </c:extLst>
        </c:ser>
        <c:ser>
          <c:idx val="12"/>
          <c:order val="12"/>
          <c:tx>
            <c:strRef>
              <c:f>ККД!$E$16</c:f>
              <c:strCache>
                <c:ptCount val="1"/>
                <c:pt idx="0">
                  <c:v>9.8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ККД!$G$16:$P$16</c:f>
              <c:numCache>
                <c:formatCode>General</c:formatCode>
                <c:ptCount val="10"/>
                <c:pt idx="0">
                  <c:v>100</c:v>
                </c:pt>
                <c:pt idx="1">
                  <c:v>99.05</c:v>
                </c:pt>
                <c:pt idx="2">
                  <c:v>98.1</c:v>
                </c:pt>
                <c:pt idx="3">
                  <c:v>97.3</c:v>
                </c:pt>
                <c:pt idx="4">
                  <c:v>94.92</c:v>
                </c:pt>
                <c:pt idx="5">
                  <c:v>90.64</c:v>
                </c:pt>
                <c:pt idx="6">
                  <c:v>82.19</c:v>
                </c:pt>
                <c:pt idx="7">
                  <c:v>75.94</c:v>
                </c:pt>
                <c:pt idx="8">
                  <c:v>71.66</c:v>
                </c:pt>
                <c:pt idx="9">
                  <c:v>68.81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4F1-41DA-B538-042C6DD3B670}"/>
            </c:ext>
          </c:extLst>
        </c:ser>
        <c:ser>
          <c:idx val="13"/>
          <c:order val="13"/>
          <c:tx>
            <c:strRef>
              <c:f>ККД!$E$17</c:f>
              <c:strCache>
                <c:ptCount val="1"/>
                <c:pt idx="0">
                  <c:v>5.2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ККД!$G$17:$P$17</c:f>
              <c:numCache>
                <c:formatCode>General</c:formatCode>
                <c:ptCount val="10"/>
                <c:pt idx="0">
                  <c:v>100</c:v>
                </c:pt>
                <c:pt idx="1">
                  <c:v>99.01</c:v>
                </c:pt>
                <c:pt idx="2">
                  <c:v>98.5</c:v>
                </c:pt>
                <c:pt idx="3">
                  <c:v>97.9</c:v>
                </c:pt>
                <c:pt idx="4">
                  <c:v>96.58</c:v>
                </c:pt>
                <c:pt idx="5">
                  <c:v>93.46</c:v>
                </c:pt>
                <c:pt idx="6">
                  <c:v>86.74</c:v>
                </c:pt>
                <c:pt idx="7" formatCode="0.00">
                  <c:v>80.2</c:v>
                </c:pt>
                <c:pt idx="8">
                  <c:v>75.650000000000006</c:v>
                </c:pt>
                <c:pt idx="9">
                  <c:v>72.61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4F1-41DA-B538-042C6DD3B670}"/>
            </c:ext>
          </c:extLst>
        </c:ser>
        <c:ser>
          <c:idx val="14"/>
          <c:order val="14"/>
          <c:tx>
            <c:strRef>
              <c:f>ККД!$E$18</c:f>
              <c:strCache>
                <c:ptCount val="1"/>
                <c:pt idx="0">
                  <c:v>11.9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ККД!$G$18:$P$18</c:f>
              <c:numCache>
                <c:formatCode>General</c:formatCode>
                <c:ptCount val="10"/>
                <c:pt idx="0">
                  <c:v>100</c:v>
                </c:pt>
                <c:pt idx="1">
                  <c:v>96.09</c:v>
                </c:pt>
                <c:pt idx="2">
                  <c:v>95.09</c:v>
                </c:pt>
                <c:pt idx="3">
                  <c:v>93.38</c:v>
                </c:pt>
                <c:pt idx="4">
                  <c:v>90.92</c:v>
                </c:pt>
                <c:pt idx="5">
                  <c:v>86.86</c:v>
                </c:pt>
                <c:pt idx="6">
                  <c:v>77.900000000000006</c:v>
                </c:pt>
                <c:pt idx="7" formatCode="0.00">
                  <c:v>71.23</c:v>
                </c:pt>
                <c:pt idx="8">
                  <c:v>66.819999999999993</c:v>
                </c:pt>
                <c:pt idx="9">
                  <c:v>64.56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4F1-41DA-B538-042C6DD3B670}"/>
            </c:ext>
          </c:extLst>
        </c:ser>
        <c:ser>
          <c:idx val="15"/>
          <c:order val="15"/>
          <c:tx>
            <c:strRef>
              <c:f>ККД!$E$19</c:f>
              <c:strCache>
                <c:ptCount val="1"/>
                <c:pt idx="0">
                  <c:v>9.3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ККД!$G$19:$P$19</c:f>
              <c:numCache>
                <c:formatCode>General</c:formatCode>
                <c:ptCount val="10"/>
                <c:pt idx="0">
                  <c:v>100</c:v>
                </c:pt>
                <c:pt idx="1">
                  <c:v>97.5</c:v>
                </c:pt>
                <c:pt idx="2">
                  <c:v>96.8</c:v>
                </c:pt>
                <c:pt idx="3">
                  <c:v>95.9</c:v>
                </c:pt>
                <c:pt idx="4">
                  <c:v>94.69</c:v>
                </c:pt>
                <c:pt idx="5">
                  <c:v>92.14</c:v>
                </c:pt>
                <c:pt idx="6">
                  <c:v>85.17</c:v>
                </c:pt>
                <c:pt idx="7" formatCode="0.00">
                  <c:v>75.760000000000005</c:v>
                </c:pt>
                <c:pt idx="8">
                  <c:v>68.66</c:v>
                </c:pt>
                <c:pt idx="9">
                  <c:v>64.8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4F1-41DA-B538-042C6DD3B670}"/>
            </c:ext>
          </c:extLst>
        </c:ser>
        <c:ser>
          <c:idx val="16"/>
          <c:order val="16"/>
          <c:tx>
            <c:strRef>
              <c:f>ККД!$E$20</c:f>
              <c:strCache>
                <c:ptCount val="1"/>
                <c:pt idx="0">
                  <c:v>194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ККД!$G$20:$P$20</c:f>
              <c:numCache>
                <c:formatCode>General</c:formatCode>
                <c:ptCount val="10"/>
                <c:pt idx="0">
                  <c:v>100</c:v>
                </c:pt>
                <c:pt idx="1">
                  <c:v>94.52</c:v>
                </c:pt>
                <c:pt idx="2">
                  <c:v>90.52</c:v>
                </c:pt>
                <c:pt idx="3">
                  <c:v>79.14</c:v>
                </c:pt>
                <c:pt idx="4">
                  <c:v>68</c:v>
                </c:pt>
                <c:pt idx="5">
                  <c:v>59.58</c:v>
                </c:pt>
                <c:pt idx="6">
                  <c:v>52.47</c:v>
                </c:pt>
                <c:pt idx="7" formatCode="0.00">
                  <c:v>47.57</c:v>
                </c:pt>
                <c:pt idx="8">
                  <c:v>43.97</c:v>
                </c:pt>
                <c:pt idx="9">
                  <c:v>41.41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4F1-41DA-B538-042C6DD3B670}"/>
            </c:ext>
          </c:extLst>
        </c:ser>
        <c:ser>
          <c:idx val="17"/>
          <c:order val="17"/>
          <c:tx>
            <c:strRef>
              <c:f>ККД!$E$21</c:f>
              <c:strCache>
                <c:ptCount val="1"/>
                <c:pt idx="0">
                  <c:v>74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ККД!$G$21:$P$21</c:f>
              <c:numCache>
                <c:formatCode>General</c:formatCode>
                <c:ptCount val="10"/>
                <c:pt idx="0">
                  <c:v>100</c:v>
                </c:pt>
                <c:pt idx="1">
                  <c:v>95.47</c:v>
                </c:pt>
                <c:pt idx="2">
                  <c:v>94.03</c:v>
                </c:pt>
                <c:pt idx="3">
                  <c:v>92.13</c:v>
                </c:pt>
                <c:pt idx="4">
                  <c:v>85.54</c:v>
                </c:pt>
                <c:pt idx="5">
                  <c:v>74.92</c:v>
                </c:pt>
                <c:pt idx="6">
                  <c:v>64.66</c:v>
                </c:pt>
                <c:pt idx="7" formatCode="0.00">
                  <c:v>56.32</c:v>
                </c:pt>
                <c:pt idx="8">
                  <c:v>50.6</c:v>
                </c:pt>
                <c:pt idx="9">
                  <c:v>47.6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4F1-41DA-B538-042C6DD3B670}"/>
            </c:ext>
          </c:extLst>
        </c:ser>
        <c:ser>
          <c:idx val="18"/>
          <c:order val="18"/>
          <c:tx>
            <c:strRef>
              <c:f>ККД!$E$22</c:f>
              <c:strCache>
                <c:ptCount val="1"/>
                <c:pt idx="0">
                  <c:v>873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ККД!$G$22:$P$22</c:f>
              <c:numCache>
                <c:formatCode>General</c:formatCode>
                <c:ptCount val="10"/>
                <c:pt idx="0">
                  <c:v>100</c:v>
                </c:pt>
                <c:pt idx="1">
                  <c:v>82.83</c:v>
                </c:pt>
                <c:pt idx="2">
                  <c:v>69.150000000000006</c:v>
                </c:pt>
                <c:pt idx="3">
                  <c:v>56.51</c:v>
                </c:pt>
                <c:pt idx="4">
                  <c:v>45.5</c:v>
                </c:pt>
                <c:pt idx="5">
                  <c:v>37.36</c:v>
                </c:pt>
                <c:pt idx="6">
                  <c:v>31.88</c:v>
                </c:pt>
                <c:pt idx="7" formatCode="0.00">
                  <c:v>28.22</c:v>
                </c:pt>
                <c:pt idx="8">
                  <c:v>26.19</c:v>
                </c:pt>
                <c:pt idx="9">
                  <c:v>24.76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4F1-41DA-B538-042C6DD3B670}"/>
            </c:ext>
          </c:extLst>
        </c:ser>
        <c:ser>
          <c:idx val="19"/>
          <c:order val="19"/>
          <c:tx>
            <c:strRef>
              <c:f>ККД!$E$23</c:f>
              <c:strCache>
                <c:ptCount val="1"/>
                <c:pt idx="0">
                  <c:v>6.4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ККД!$G$23:$P$23</c:f>
              <c:numCache>
                <c:formatCode>General</c:formatCode>
                <c:ptCount val="10"/>
                <c:pt idx="0">
                  <c:v>100</c:v>
                </c:pt>
                <c:pt idx="1">
                  <c:v>98.65</c:v>
                </c:pt>
                <c:pt idx="2">
                  <c:v>98.1</c:v>
                </c:pt>
                <c:pt idx="3">
                  <c:v>96.9</c:v>
                </c:pt>
                <c:pt idx="4">
                  <c:v>95.81</c:v>
                </c:pt>
                <c:pt idx="5">
                  <c:v>93</c:v>
                </c:pt>
                <c:pt idx="6">
                  <c:v>87.74</c:v>
                </c:pt>
                <c:pt idx="7" formatCode="0.00">
                  <c:v>80.2</c:v>
                </c:pt>
                <c:pt idx="8">
                  <c:v>72.64</c:v>
                </c:pt>
                <c:pt idx="9">
                  <c:v>67.69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4F1-41DA-B538-042C6DD3B670}"/>
            </c:ext>
          </c:extLst>
        </c:ser>
        <c:ser>
          <c:idx val="20"/>
          <c:order val="20"/>
          <c:tx>
            <c:strRef>
              <c:f>ККД!$E$24</c:f>
              <c:strCache>
                <c:ptCount val="1"/>
                <c:pt idx="0">
                  <c:v>47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ККД!$G$24:$P$24</c:f>
              <c:numCache>
                <c:formatCode>General</c:formatCode>
                <c:ptCount val="10"/>
                <c:pt idx="0">
                  <c:v>100</c:v>
                </c:pt>
                <c:pt idx="1">
                  <c:v>97.23</c:v>
                </c:pt>
                <c:pt idx="2">
                  <c:v>96.67</c:v>
                </c:pt>
                <c:pt idx="3">
                  <c:v>95.52</c:v>
                </c:pt>
                <c:pt idx="4">
                  <c:v>90.26</c:v>
                </c:pt>
                <c:pt idx="5">
                  <c:v>78.77</c:v>
                </c:pt>
                <c:pt idx="6">
                  <c:v>69.69</c:v>
                </c:pt>
                <c:pt idx="7" formatCode="0.00">
                  <c:v>62.69</c:v>
                </c:pt>
                <c:pt idx="8">
                  <c:v>57.93</c:v>
                </c:pt>
                <c:pt idx="9">
                  <c:v>54.93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4F1-41DA-B538-042C6DD3B670}"/>
            </c:ext>
          </c:extLst>
        </c:ser>
        <c:ser>
          <c:idx val="21"/>
          <c:order val="21"/>
          <c:tx>
            <c:strRef>
              <c:f>ККД!$E$25</c:f>
              <c:strCache>
                <c:ptCount val="1"/>
                <c:pt idx="0">
                  <c:v>104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ККД!$G$25:$P$25</c:f>
              <c:numCache>
                <c:formatCode>General</c:formatCode>
                <c:ptCount val="10"/>
                <c:pt idx="0">
                  <c:v>100</c:v>
                </c:pt>
                <c:pt idx="1">
                  <c:v>98.43</c:v>
                </c:pt>
                <c:pt idx="2">
                  <c:v>95.69</c:v>
                </c:pt>
                <c:pt idx="3">
                  <c:v>89.92</c:v>
                </c:pt>
                <c:pt idx="4">
                  <c:v>77.290000000000006</c:v>
                </c:pt>
                <c:pt idx="5">
                  <c:v>66.11</c:v>
                </c:pt>
                <c:pt idx="6">
                  <c:v>57.43</c:v>
                </c:pt>
                <c:pt idx="7" formatCode="0.00">
                  <c:v>50.84</c:v>
                </c:pt>
                <c:pt idx="8">
                  <c:v>46.04</c:v>
                </c:pt>
                <c:pt idx="9">
                  <c:v>43.04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4F1-41DA-B538-042C6DD3B670}"/>
            </c:ext>
          </c:extLst>
        </c:ser>
        <c:ser>
          <c:idx val="22"/>
          <c:order val="22"/>
          <c:tx>
            <c:strRef>
              <c:f>ККД!$E$26</c:f>
              <c:strCache>
                <c:ptCount val="1"/>
                <c:pt idx="0">
                  <c:v>214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ККД!$G$26:$P$26</c:f>
              <c:numCache>
                <c:formatCode>General</c:formatCode>
                <c:ptCount val="10"/>
                <c:pt idx="0">
                  <c:v>100</c:v>
                </c:pt>
                <c:pt idx="1">
                  <c:v>91.06</c:v>
                </c:pt>
                <c:pt idx="2">
                  <c:v>88.32</c:v>
                </c:pt>
                <c:pt idx="3">
                  <c:v>82.62</c:v>
                </c:pt>
                <c:pt idx="4">
                  <c:v>70.42</c:v>
                </c:pt>
                <c:pt idx="5">
                  <c:v>58.43</c:v>
                </c:pt>
                <c:pt idx="6">
                  <c:v>49.45</c:v>
                </c:pt>
                <c:pt idx="7" formatCode="0.00">
                  <c:v>42.87</c:v>
                </c:pt>
                <c:pt idx="8">
                  <c:v>38.19</c:v>
                </c:pt>
                <c:pt idx="9">
                  <c:v>35.03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4F1-41DA-B538-042C6DD3B670}"/>
            </c:ext>
          </c:extLst>
        </c:ser>
        <c:ser>
          <c:idx val="23"/>
          <c:order val="23"/>
          <c:tx>
            <c:strRef>
              <c:f>ККД!$E$27</c:f>
              <c:strCache>
                <c:ptCount val="1"/>
                <c:pt idx="0">
                  <c:v>63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ККД!$G$27:$P$27</c:f>
              <c:numCache>
                <c:formatCode>General</c:formatCode>
                <c:ptCount val="10"/>
                <c:pt idx="0">
                  <c:v>100</c:v>
                </c:pt>
                <c:pt idx="1">
                  <c:v>96.33</c:v>
                </c:pt>
                <c:pt idx="2">
                  <c:v>94.83</c:v>
                </c:pt>
                <c:pt idx="3">
                  <c:v>92.19</c:v>
                </c:pt>
                <c:pt idx="4">
                  <c:v>83.05</c:v>
                </c:pt>
                <c:pt idx="5">
                  <c:v>68.349999999999994</c:v>
                </c:pt>
                <c:pt idx="6">
                  <c:v>57.42</c:v>
                </c:pt>
                <c:pt idx="7" formatCode="0.00">
                  <c:v>49.22</c:v>
                </c:pt>
                <c:pt idx="8">
                  <c:v>43.76</c:v>
                </c:pt>
                <c:pt idx="9">
                  <c:v>40.76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4F1-41DA-B538-042C6DD3B670}"/>
            </c:ext>
          </c:extLst>
        </c:ser>
        <c:ser>
          <c:idx val="24"/>
          <c:order val="24"/>
          <c:tx>
            <c:strRef>
              <c:f>ККД!$E$28</c:f>
              <c:strCache>
                <c:ptCount val="1"/>
                <c:pt idx="0">
                  <c:v>8.8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ККД!$G$28:$P$28</c:f>
              <c:numCache>
                <c:formatCode>General</c:formatCode>
                <c:ptCount val="10"/>
                <c:pt idx="0">
                  <c:v>100</c:v>
                </c:pt>
                <c:pt idx="1">
                  <c:v>97.97</c:v>
                </c:pt>
                <c:pt idx="2">
                  <c:v>97.5</c:v>
                </c:pt>
                <c:pt idx="3">
                  <c:v>96.5</c:v>
                </c:pt>
                <c:pt idx="4">
                  <c:v>95.57</c:v>
                </c:pt>
                <c:pt idx="5">
                  <c:v>91.62</c:v>
                </c:pt>
                <c:pt idx="6">
                  <c:v>81.459999999999994</c:v>
                </c:pt>
                <c:pt idx="7">
                  <c:v>72.98</c:v>
                </c:pt>
                <c:pt idx="8">
                  <c:v>67.099999999999994</c:v>
                </c:pt>
                <c:pt idx="9">
                  <c:v>64.22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4F1-41DA-B538-042C6DD3B670}"/>
            </c:ext>
          </c:extLst>
        </c:ser>
        <c:ser>
          <c:idx val="25"/>
          <c:order val="25"/>
          <c:tx>
            <c:strRef>
              <c:f>ККД!$E$29</c:f>
              <c:strCache>
                <c:ptCount val="1"/>
                <c:pt idx="0">
                  <c:v>276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ККД!$G$29:$P$29</c:f>
              <c:numCache>
                <c:formatCode>General</c:formatCode>
                <c:ptCount val="10"/>
                <c:pt idx="0">
                  <c:v>100</c:v>
                </c:pt>
                <c:pt idx="1">
                  <c:v>94.07</c:v>
                </c:pt>
                <c:pt idx="2">
                  <c:v>88.1</c:v>
                </c:pt>
                <c:pt idx="3">
                  <c:v>78.180000000000007</c:v>
                </c:pt>
                <c:pt idx="4">
                  <c:v>67.06</c:v>
                </c:pt>
                <c:pt idx="5">
                  <c:v>58.6</c:v>
                </c:pt>
                <c:pt idx="6">
                  <c:v>51.94</c:v>
                </c:pt>
                <c:pt idx="7">
                  <c:v>46.3</c:v>
                </c:pt>
                <c:pt idx="8">
                  <c:v>42.02</c:v>
                </c:pt>
                <c:pt idx="9">
                  <c:v>39.020000000000003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4F1-41DA-B538-042C6DD3B670}"/>
            </c:ext>
          </c:extLst>
        </c:ser>
        <c:ser>
          <c:idx val="26"/>
          <c:order val="26"/>
          <c:tx>
            <c:strRef>
              <c:f>ККД!$E$30</c:f>
              <c:strCache>
                <c:ptCount val="1"/>
                <c:pt idx="0">
                  <c:v>30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ККД!$G$30:$P$30</c:f>
              <c:numCache>
                <c:formatCode>General</c:formatCode>
                <c:ptCount val="10"/>
                <c:pt idx="0">
                  <c:v>100</c:v>
                </c:pt>
                <c:pt idx="1">
                  <c:v>97.6</c:v>
                </c:pt>
                <c:pt idx="2">
                  <c:v>96.7</c:v>
                </c:pt>
                <c:pt idx="3">
                  <c:v>95.4</c:v>
                </c:pt>
                <c:pt idx="4">
                  <c:v>92.01</c:v>
                </c:pt>
                <c:pt idx="5">
                  <c:v>83.3</c:v>
                </c:pt>
                <c:pt idx="6">
                  <c:v>72.430000000000007</c:v>
                </c:pt>
                <c:pt idx="7">
                  <c:v>63.62</c:v>
                </c:pt>
                <c:pt idx="8">
                  <c:v>57.1</c:v>
                </c:pt>
                <c:pt idx="9">
                  <c:v>53.52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4F1-41DA-B538-042C6DD3B670}"/>
            </c:ext>
          </c:extLst>
        </c:ser>
        <c:ser>
          <c:idx val="27"/>
          <c:order val="27"/>
          <c:tx>
            <c:strRef>
              <c:f>ККД!$E$31</c:f>
              <c:strCache>
                <c:ptCount val="1"/>
                <c:pt idx="0">
                  <c:v>375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ККД!$G$31:$P$31</c:f>
              <c:numCache>
                <c:formatCode>General</c:formatCode>
                <c:ptCount val="10"/>
                <c:pt idx="0">
                  <c:v>100</c:v>
                </c:pt>
                <c:pt idx="1">
                  <c:v>88.38</c:v>
                </c:pt>
                <c:pt idx="2">
                  <c:v>82.58</c:v>
                </c:pt>
                <c:pt idx="3">
                  <c:v>71.12</c:v>
                </c:pt>
                <c:pt idx="4">
                  <c:v>60.81</c:v>
                </c:pt>
                <c:pt idx="5">
                  <c:v>53.47</c:v>
                </c:pt>
                <c:pt idx="6">
                  <c:v>47.01</c:v>
                </c:pt>
                <c:pt idx="7">
                  <c:v>41.83</c:v>
                </c:pt>
                <c:pt idx="8">
                  <c:v>38.020000000000003</c:v>
                </c:pt>
                <c:pt idx="9">
                  <c:v>35.44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4F1-41DA-B538-042C6DD3B670}"/>
            </c:ext>
          </c:extLst>
        </c:ser>
        <c:ser>
          <c:idx val="28"/>
          <c:order val="28"/>
          <c:tx>
            <c:strRef>
              <c:f>ККД!$E$32</c:f>
              <c:strCache>
                <c:ptCount val="1"/>
                <c:pt idx="0">
                  <c:v>306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ККД!$G$32:$P$32</c:f>
              <c:numCache>
                <c:formatCode>General</c:formatCode>
                <c:ptCount val="10"/>
                <c:pt idx="0">
                  <c:v>100</c:v>
                </c:pt>
                <c:pt idx="1">
                  <c:v>92.89</c:v>
                </c:pt>
                <c:pt idx="2">
                  <c:v>87.94</c:v>
                </c:pt>
                <c:pt idx="3">
                  <c:v>76.66</c:v>
                </c:pt>
                <c:pt idx="4">
                  <c:v>66.34</c:v>
                </c:pt>
                <c:pt idx="5">
                  <c:v>57.73</c:v>
                </c:pt>
                <c:pt idx="6">
                  <c:v>50.29</c:v>
                </c:pt>
                <c:pt idx="7">
                  <c:v>44.71</c:v>
                </c:pt>
                <c:pt idx="8">
                  <c:v>39.94</c:v>
                </c:pt>
                <c:pt idx="9">
                  <c:v>36.61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4F1-41DA-B538-042C6DD3B670}"/>
            </c:ext>
          </c:extLst>
        </c:ser>
        <c:ser>
          <c:idx val="29"/>
          <c:order val="29"/>
          <c:tx>
            <c:strRef>
              <c:f>ККД!$E$33</c:f>
              <c:strCache>
                <c:ptCount val="1"/>
                <c:pt idx="0">
                  <c:v>41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ККД!$G$33:$P$33</c:f>
              <c:numCache>
                <c:formatCode>General</c:formatCode>
                <c:ptCount val="10"/>
                <c:pt idx="0">
                  <c:v>100</c:v>
                </c:pt>
                <c:pt idx="1">
                  <c:v>98.81</c:v>
                </c:pt>
                <c:pt idx="2">
                  <c:v>97.81</c:v>
                </c:pt>
                <c:pt idx="3">
                  <c:v>95.26</c:v>
                </c:pt>
                <c:pt idx="4">
                  <c:v>89.91</c:v>
                </c:pt>
                <c:pt idx="5">
                  <c:v>81.94</c:v>
                </c:pt>
                <c:pt idx="6">
                  <c:v>73.97</c:v>
                </c:pt>
                <c:pt idx="7">
                  <c:v>66.22</c:v>
                </c:pt>
                <c:pt idx="8">
                  <c:v>61.08</c:v>
                </c:pt>
                <c:pt idx="9">
                  <c:v>58.08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4F1-41DA-B538-042C6DD3B670}"/>
            </c:ext>
          </c:extLst>
        </c:ser>
        <c:ser>
          <c:idx val="30"/>
          <c:order val="30"/>
          <c:tx>
            <c:strRef>
              <c:f>ККД!$E$34</c:f>
              <c:strCache>
                <c:ptCount val="1"/>
                <c:pt idx="0">
                  <c:v>169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ККД!$G$34:$P$34</c:f>
              <c:numCache>
                <c:formatCode>General</c:formatCode>
                <c:ptCount val="10"/>
                <c:pt idx="0">
                  <c:v>100</c:v>
                </c:pt>
                <c:pt idx="1">
                  <c:v>97.68</c:v>
                </c:pt>
                <c:pt idx="2">
                  <c:v>94.07</c:v>
                </c:pt>
                <c:pt idx="3">
                  <c:v>88.2</c:v>
                </c:pt>
                <c:pt idx="4">
                  <c:v>79.36</c:v>
                </c:pt>
                <c:pt idx="5">
                  <c:v>69.87</c:v>
                </c:pt>
                <c:pt idx="6">
                  <c:v>60.38</c:v>
                </c:pt>
                <c:pt idx="7">
                  <c:v>53.4</c:v>
                </c:pt>
                <c:pt idx="8">
                  <c:v>47.29</c:v>
                </c:pt>
                <c:pt idx="9">
                  <c:v>43.42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4F1-41DA-B538-042C6DD3B670}"/>
            </c:ext>
          </c:extLst>
        </c:ser>
        <c:ser>
          <c:idx val="31"/>
          <c:order val="31"/>
          <c:tx>
            <c:strRef>
              <c:f>ККД!$E$35</c:f>
              <c:strCache>
                <c:ptCount val="1"/>
                <c:pt idx="0">
                  <c:v>333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ККД!$G$35:$P$35</c:f>
              <c:numCache>
                <c:formatCode>General</c:formatCode>
                <c:ptCount val="10"/>
                <c:pt idx="0">
                  <c:v>100</c:v>
                </c:pt>
                <c:pt idx="1">
                  <c:v>89.17</c:v>
                </c:pt>
                <c:pt idx="2">
                  <c:v>80.2</c:v>
                </c:pt>
                <c:pt idx="3">
                  <c:v>68.45</c:v>
                </c:pt>
                <c:pt idx="4">
                  <c:v>58.96</c:v>
                </c:pt>
                <c:pt idx="5">
                  <c:v>52.01</c:v>
                </c:pt>
                <c:pt idx="6">
                  <c:v>46.1</c:v>
                </c:pt>
                <c:pt idx="7">
                  <c:v>41.17</c:v>
                </c:pt>
                <c:pt idx="8">
                  <c:v>37.71</c:v>
                </c:pt>
                <c:pt idx="9">
                  <c:v>35.020000000000003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4F1-41DA-B538-042C6DD3B670}"/>
            </c:ext>
          </c:extLst>
        </c:ser>
        <c:ser>
          <c:idx val="32"/>
          <c:order val="32"/>
          <c:tx>
            <c:strRef>
              <c:f>ККД!$E$36</c:f>
              <c:strCache>
                <c:ptCount val="1"/>
                <c:pt idx="0">
                  <c:v>20.5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ККД!$G$36:$P$36</c:f>
              <c:numCache>
                <c:formatCode>General</c:formatCode>
                <c:ptCount val="10"/>
                <c:pt idx="0">
                  <c:v>100</c:v>
                </c:pt>
                <c:pt idx="1">
                  <c:v>96.8</c:v>
                </c:pt>
                <c:pt idx="2">
                  <c:v>96.17</c:v>
                </c:pt>
                <c:pt idx="3">
                  <c:v>94.97</c:v>
                </c:pt>
                <c:pt idx="4">
                  <c:v>92.94</c:v>
                </c:pt>
                <c:pt idx="5">
                  <c:v>89.06</c:v>
                </c:pt>
                <c:pt idx="6">
                  <c:v>81.849999999999994</c:v>
                </c:pt>
                <c:pt idx="7">
                  <c:v>75.099999999999994</c:v>
                </c:pt>
                <c:pt idx="8">
                  <c:v>69.510000000000005</c:v>
                </c:pt>
                <c:pt idx="9">
                  <c:v>65.849999999999994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4F1-41DA-B538-042C6DD3B670}"/>
            </c:ext>
          </c:extLst>
        </c:ser>
        <c:ser>
          <c:idx val="33"/>
          <c:order val="33"/>
          <c:tx>
            <c:strRef>
              <c:f>ККД!$E$37</c:f>
              <c:strCache>
                <c:ptCount val="1"/>
                <c:pt idx="0">
                  <c:v>202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ККД!$G$37:$P$37</c:f>
              <c:numCache>
                <c:formatCode>General</c:formatCode>
                <c:ptCount val="10"/>
                <c:pt idx="0">
                  <c:v>100</c:v>
                </c:pt>
                <c:pt idx="1">
                  <c:v>93.71</c:v>
                </c:pt>
                <c:pt idx="2">
                  <c:v>89.79</c:v>
                </c:pt>
                <c:pt idx="3">
                  <c:v>80.09</c:v>
                </c:pt>
                <c:pt idx="4">
                  <c:v>68.260000000000005</c:v>
                </c:pt>
                <c:pt idx="5">
                  <c:v>58.16</c:v>
                </c:pt>
                <c:pt idx="6">
                  <c:v>50.36</c:v>
                </c:pt>
                <c:pt idx="7">
                  <c:v>44</c:v>
                </c:pt>
                <c:pt idx="8">
                  <c:v>39.11</c:v>
                </c:pt>
                <c:pt idx="9">
                  <c:v>35.83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4F1-41DA-B538-042C6DD3B670}"/>
            </c:ext>
          </c:extLst>
        </c:ser>
        <c:ser>
          <c:idx val="34"/>
          <c:order val="34"/>
          <c:tx>
            <c:strRef>
              <c:f>ККД!$E$38</c:f>
              <c:strCache>
                <c:ptCount val="1"/>
                <c:pt idx="0">
                  <c:v>253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ККД!$G$38:$P$38</c:f>
              <c:numCache>
                <c:formatCode>General</c:formatCode>
                <c:ptCount val="10"/>
                <c:pt idx="0">
                  <c:v>100</c:v>
                </c:pt>
                <c:pt idx="1">
                  <c:v>91.85</c:v>
                </c:pt>
                <c:pt idx="2">
                  <c:v>87.83</c:v>
                </c:pt>
                <c:pt idx="3">
                  <c:v>78.7</c:v>
                </c:pt>
                <c:pt idx="4">
                  <c:v>67.319999999999993</c:v>
                </c:pt>
                <c:pt idx="5">
                  <c:v>58.35</c:v>
                </c:pt>
                <c:pt idx="6">
                  <c:v>50.86</c:v>
                </c:pt>
                <c:pt idx="7">
                  <c:v>44.93</c:v>
                </c:pt>
                <c:pt idx="8">
                  <c:v>40.14</c:v>
                </c:pt>
                <c:pt idx="9">
                  <c:v>36.97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4F1-41DA-B538-042C6DD3B670}"/>
            </c:ext>
          </c:extLst>
        </c:ser>
        <c:ser>
          <c:idx val="35"/>
          <c:order val="35"/>
          <c:tx>
            <c:strRef>
              <c:f>ККД!$E$39</c:f>
              <c:strCache>
                <c:ptCount val="1"/>
                <c:pt idx="0">
                  <c:v>108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ККД!$G$39:$P$39</c:f>
              <c:numCache>
                <c:formatCode>General</c:formatCode>
                <c:ptCount val="10"/>
                <c:pt idx="0">
                  <c:v>100</c:v>
                </c:pt>
                <c:pt idx="1">
                  <c:v>96.16</c:v>
                </c:pt>
                <c:pt idx="2">
                  <c:v>94.52</c:v>
                </c:pt>
                <c:pt idx="3">
                  <c:v>90.85</c:v>
                </c:pt>
                <c:pt idx="4">
                  <c:v>82.73</c:v>
                </c:pt>
                <c:pt idx="5">
                  <c:v>70.83</c:v>
                </c:pt>
                <c:pt idx="6">
                  <c:v>61.45</c:v>
                </c:pt>
                <c:pt idx="7">
                  <c:v>54.04</c:v>
                </c:pt>
                <c:pt idx="8">
                  <c:v>48.1</c:v>
                </c:pt>
                <c:pt idx="9">
                  <c:v>44.24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4F1-41DA-B538-042C6DD3B670}"/>
            </c:ext>
          </c:extLst>
        </c:ser>
        <c:ser>
          <c:idx val="36"/>
          <c:order val="36"/>
          <c:tx>
            <c:strRef>
              <c:f>ККД!$E$40</c:f>
              <c:strCache>
                <c:ptCount val="1"/>
                <c:pt idx="0">
                  <c:v>76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ККД!$G$40:$P$40</c:f>
              <c:numCache>
                <c:formatCode>General</c:formatCode>
                <c:ptCount val="10"/>
                <c:pt idx="0">
                  <c:v>100</c:v>
                </c:pt>
                <c:pt idx="1">
                  <c:v>96.01</c:v>
                </c:pt>
                <c:pt idx="2">
                  <c:v>94.26</c:v>
                </c:pt>
                <c:pt idx="3">
                  <c:v>91.09</c:v>
                </c:pt>
                <c:pt idx="4">
                  <c:v>83.94</c:v>
                </c:pt>
                <c:pt idx="5">
                  <c:v>71.69</c:v>
                </c:pt>
                <c:pt idx="6">
                  <c:v>59.8</c:v>
                </c:pt>
                <c:pt idx="7">
                  <c:v>51</c:v>
                </c:pt>
                <c:pt idx="8">
                  <c:v>45</c:v>
                </c:pt>
                <c:pt idx="9">
                  <c:v>41.44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4F1-41DA-B538-042C6DD3B670}"/>
            </c:ext>
          </c:extLst>
        </c:ser>
        <c:ser>
          <c:idx val="37"/>
          <c:order val="37"/>
          <c:tx>
            <c:strRef>
              <c:f>ККД!$E$41</c:f>
              <c:strCache>
                <c:ptCount val="1"/>
                <c:pt idx="0">
                  <c:v>52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ККД!$G$41:$P$41</c:f>
              <c:numCache>
                <c:formatCode>General</c:formatCode>
                <c:ptCount val="10"/>
                <c:pt idx="0">
                  <c:v>100</c:v>
                </c:pt>
                <c:pt idx="1">
                  <c:v>98.92</c:v>
                </c:pt>
                <c:pt idx="2">
                  <c:v>97.92</c:v>
                </c:pt>
                <c:pt idx="3">
                  <c:v>95.91</c:v>
                </c:pt>
                <c:pt idx="4">
                  <c:v>91.86</c:v>
                </c:pt>
                <c:pt idx="5">
                  <c:v>83.34</c:v>
                </c:pt>
                <c:pt idx="6">
                  <c:v>74.81</c:v>
                </c:pt>
                <c:pt idx="7">
                  <c:v>67.12</c:v>
                </c:pt>
                <c:pt idx="8">
                  <c:v>62.05</c:v>
                </c:pt>
                <c:pt idx="9">
                  <c:v>59.05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4F1-41DA-B538-042C6DD3B670}"/>
            </c:ext>
          </c:extLst>
        </c:ser>
        <c:ser>
          <c:idx val="38"/>
          <c:order val="38"/>
          <c:tx>
            <c:strRef>
              <c:f>ККД!$E$42</c:f>
              <c:strCache>
                <c:ptCount val="1"/>
                <c:pt idx="0">
                  <c:v>28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ККД!$G$42:$P$42</c:f>
              <c:numCache>
                <c:formatCode>General</c:formatCode>
                <c:ptCount val="10"/>
                <c:pt idx="0">
                  <c:v>100</c:v>
                </c:pt>
                <c:pt idx="1">
                  <c:v>97.96</c:v>
                </c:pt>
                <c:pt idx="2">
                  <c:v>97.1</c:v>
                </c:pt>
                <c:pt idx="3">
                  <c:v>95.2</c:v>
                </c:pt>
                <c:pt idx="4">
                  <c:v>91.14</c:v>
                </c:pt>
                <c:pt idx="5">
                  <c:v>83.45</c:v>
                </c:pt>
                <c:pt idx="6">
                  <c:v>76.180000000000007</c:v>
                </c:pt>
                <c:pt idx="7">
                  <c:v>70.12</c:v>
                </c:pt>
                <c:pt idx="8">
                  <c:v>65.8</c:v>
                </c:pt>
                <c:pt idx="9">
                  <c:v>62.8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34F1-41DA-B538-042C6DD3B670}"/>
            </c:ext>
          </c:extLst>
        </c:ser>
        <c:ser>
          <c:idx val="39"/>
          <c:order val="39"/>
          <c:tx>
            <c:strRef>
              <c:f>ККД!$E$43</c:f>
              <c:strCache>
                <c:ptCount val="1"/>
                <c:pt idx="0">
                  <c:v>366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ККД!$G$43:$P$43</c:f>
              <c:numCache>
                <c:formatCode>General</c:formatCode>
                <c:ptCount val="10"/>
                <c:pt idx="0">
                  <c:v>100</c:v>
                </c:pt>
                <c:pt idx="1">
                  <c:v>88.58</c:v>
                </c:pt>
                <c:pt idx="2">
                  <c:v>81.58</c:v>
                </c:pt>
                <c:pt idx="3">
                  <c:v>67.73</c:v>
                </c:pt>
                <c:pt idx="4">
                  <c:v>56.75</c:v>
                </c:pt>
                <c:pt idx="5">
                  <c:v>48.88</c:v>
                </c:pt>
                <c:pt idx="6">
                  <c:v>43.2</c:v>
                </c:pt>
                <c:pt idx="7">
                  <c:v>39.659999999999997</c:v>
                </c:pt>
                <c:pt idx="8">
                  <c:v>36.67</c:v>
                </c:pt>
                <c:pt idx="9">
                  <c:v>34.83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4F1-41DA-B538-042C6DD3B670}"/>
            </c:ext>
          </c:extLst>
        </c:ser>
        <c:ser>
          <c:idx val="40"/>
          <c:order val="40"/>
          <c:tx>
            <c:strRef>
              <c:f>ККД!$E$44</c:f>
              <c:strCache>
                <c:ptCount val="1"/>
                <c:pt idx="0">
                  <c:v>154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ККД!$G$44:$P$44</c:f>
              <c:numCache>
                <c:formatCode>General</c:formatCode>
                <c:ptCount val="10"/>
                <c:pt idx="0">
                  <c:v>100</c:v>
                </c:pt>
                <c:pt idx="1">
                  <c:v>92.94</c:v>
                </c:pt>
                <c:pt idx="2">
                  <c:v>89.33</c:v>
                </c:pt>
                <c:pt idx="3">
                  <c:v>81.17</c:v>
                </c:pt>
                <c:pt idx="4">
                  <c:v>70.14</c:v>
                </c:pt>
                <c:pt idx="5">
                  <c:v>61.17</c:v>
                </c:pt>
                <c:pt idx="6">
                  <c:v>54.85</c:v>
                </c:pt>
                <c:pt idx="7">
                  <c:v>50.93</c:v>
                </c:pt>
                <c:pt idx="8">
                  <c:v>48.31</c:v>
                </c:pt>
                <c:pt idx="9">
                  <c:v>46.62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34F1-41DA-B538-042C6DD3B670}"/>
            </c:ext>
          </c:extLst>
        </c:ser>
        <c:ser>
          <c:idx val="41"/>
          <c:order val="41"/>
          <c:tx>
            <c:strRef>
              <c:f>ККД!$E$45</c:f>
              <c:strCache>
                <c:ptCount val="1"/>
                <c:pt idx="0">
                  <c:v>258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ККД!$G$45:$P$45</c:f>
              <c:numCache>
                <c:formatCode>General</c:formatCode>
                <c:ptCount val="10"/>
                <c:pt idx="0">
                  <c:v>100</c:v>
                </c:pt>
                <c:pt idx="1">
                  <c:v>90.44</c:v>
                </c:pt>
                <c:pt idx="2">
                  <c:v>87.26</c:v>
                </c:pt>
                <c:pt idx="3">
                  <c:v>77.42</c:v>
                </c:pt>
                <c:pt idx="4">
                  <c:v>66.930000000000007</c:v>
                </c:pt>
                <c:pt idx="5">
                  <c:v>57.95</c:v>
                </c:pt>
                <c:pt idx="6">
                  <c:v>51.48</c:v>
                </c:pt>
                <c:pt idx="7">
                  <c:v>46.49</c:v>
                </c:pt>
                <c:pt idx="8">
                  <c:v>42.44</c:v>
                </c:pt>
                <c:pt idx="9">
                  <c:v>40.28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4F1-41DA-B538-042C6DD3B670}"/>
            </c:ext>
          </c:extLst>
        </c:ser>
        <c:ser>
          <c:idx val="42"/>
          <c:order val="42"/>
          <c:tx>
            <c:strRef>
              <c:f>ККД!$E$46</c:f>
              <c:strCache>
                <c:ptCount val="1"/>
                <c:pt idx="0">
                  <c:v>720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ККД!$G$46:$P$46</c:f>
              <c:numCache>
                <c:formatCode>General</c:formatCode>
                <c:ptCount val="10"/>
                <c:pt idx="0">
                  <c:v>100</c:v>
                </c:pt>
                <c:pt idx="1">
                  <c:v>81.3</c:v>
                </c:pt>
                <c:pt idx="2">
                  <c:v>70.52</c:v>
                </c:pt>
                <c:pt idx="3">
                  <c:v>57.34</c:v>
                </c:pt>
                <c:pt idx="4">
                  <c:v>47.65</c:v>
                </c:pt>
                <c:pt idx="5">
                  <c:v>40.700000000000003</c:v>
                </c:pt>
                <c:pt idx="6">
                  <c:v>35.57</c:v>
                </c:pt>
                <c:pt idx="7">
                  <c:v>31.85</c:v>
                </c:pt>
                <c:pt idx="8">
                  <c:v>29.75</c:v>
                </c:pt>
                <c:pt idx="9">
                  <c:v>28.26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34F1-41DA-B538-042C6DD3B670}"/>
            </c:ext>
          </c:extLst>
        </c:ser>
        <c:ser>
          <c:idx val="43"/>
          <c:order val="43"/>
          <c:tx>
            <c:strRef>
              <c:f>ККД!$E$47</c:f>
              <c:strCache>
                <c:ptCount val="1"/>
                <c:pt idx="0">
                  <c:v>129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ККД!$G$47:$P$47</c:f>
              <c:numCache>
                <c:formatCode>General</c:formatCode>
                <c:ptCount val="10"/>
                <c:pt idx="0">
                  <c:v>100</c:v>
                </c:pt>
                <c:pt idx="1">
                  <c:v>96.48</c:v>
                </c:pt>
                <c:pt idx="2">
                  <c:v>94.61</c:v>
                </c:pt>
                <c:pt idx="3">
                  <c:v>88.8</c:v>
                </c:pt>
                <c:pt idx="4">
                  <c:v>78.209999999999994</c:v>
                </c:pt>
                <c:pt idx="5">
                  <c:v>68.11</c:v>
                </c:pt>
                <c:pt idx="6">
                  <c:v>59.68</c:v>
                </c:pt>
                <c:pt idx="7">
                  <c:v>53.29</c:v>
                </c:pt>
                <c:pt idx="8">
                  <c:v>48.75</c:v>
                </c:pt>
                <c:pt idx="9">
                  <c:v>46.17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4F1-41DA-B538-042C6DD3B670}"/>
            </c:ext>
          </c:extLst>
        </c:ser>
        <c:ser>
          <c:idx val="44"/>
          <c:order val="44"/>
          <c:tx>
            <c:strRef>
              <c:f>ККД!$E$48</c:f>
              <c:strCache>
                <c:ptCount val="1"/>
                <c:pt idx="0">
                  <c:v>20.3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ККД!$G$48:$P$48</c:f>
              <c:numCache>
                <c:formatCode>General</c:formatCode>
                <c:ptCount val="10"/>
                <c:pt idx="0">
                  <c:v>100</c:v>
                </c:pt>
                <c:pt idx="1">
                  <c:v>98.19</c:v>
                </c:pt>
                <c:pt idx="2">
                  <c:v>97.28</c:v>
                </c:pt>
                <c:pt idx="3">
                  <c:v>96</c:v>
                </c:pt>
                <c:pt idx="4">
                  <c:v>92.06</c:v>
                </c:pt>
                <c:pt idx="5">
                  <c:v>85.13</c:v>
                </c:pt>
                <c:pt idx="6">
                  <c:v>76.87</c:v>
                </c:pt>
                <c:pt idx="7">
                  <c:v>71.260000000000005</c:v>
                </c:pt>
                <c:pt idx="8">
                  <c:v>67.84</c:v>
                </c:pt>
                <c:pt idx="9">
                  <c:v>65.42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34F1-41DA-B538-042C6DD3B670}"/>
            </c:ext>
          </c:extLst>
        </c:ser>
        <c:ser>
          <c:idx val="45"/>
          <c:order val="45"/>
          <c:tx>
            <c:strRef>
              <c:f>ККД!$E$49</c:f>
              <c:strCache>
                <c:ptCount val="1"/>
                <c:pt idx="0">
                  <c:v>14.2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ККД!$G$49:$P$49</c:f>
              <c:numCache>
                <c:formatCode>General</c:formatCode>
                <c:ptCount val="10"/>
                <c:pt idx="0">
                  <c:v>100</c:v>
                </c:pt>
                <c:pt idx="1">
                  <c:v>97.21</c:v>
                </c:pt>
                <c:pt idx="2">
                  <c:v>96.39</c:v>
                </c:pt>
                <c:pt idx="3">
                  <c:v>95</c:v>
                </c:pt>
                <c:pt idx="4">
                  <c:v>91.37</c:v>
                </c:pt>
                <c:pt idx="5">
                  <c:v>85.17</c:v>
                </c:pt>
                <c:pt idx="6">
                  <c:v>76.53</c:v>
                </c:pt>
                <c:pt idx="7">
                  <c:v>70</c:v>
                </c:pt>
                <c:pt idx="8">
                  <c:v>64.53</c:v>
                </c:pt>
                <c:pt idx="9">
                  <c:v>61.53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4F1-41DA-B538-042C6DD3B670}"/>
            </c:ext>
          </c:extLst>
        </c:ser>
        <c:ser>
          <c:idx val="46"/>
          <c:order val="46"/>
          <c:tx>
            <c:strRef>
              <c:f>ККД!$E$50</c:f>
              <c:strCache>
                <c:ptCount val="1"/>
                <c:pt idx="0">
                  <c:v>6.0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ККД!$G$50:$P$50</c:f>
              <c:numCache>
                <c:formatCode>General</c:formatCode>
                <c:ptCount val="10"/>
                <c:pt idx="0">
                  <c:v>100</c:v>
                </c:pt>
                <c:pt idx="1">
                  <c:v>99.05</c:v>
                </c:pt>
                <c:pt idx="2">
                  <c:v>98.18</c:v>
                </c:pt>
                <c:pt idx="3">
                  <c:v>97.3</c:v>
                </c:pt>
                <c:pt idx="4">
                  <c:v>96.24</c:v>
                </c:pt>
                <c:pt idx="5">
                  <c:v>92.92</c:v>
                </c:pt>
                <c:pt idx="6">
                  <c:v>87.59</c:v>
                </c:pt>
                <c:pt idx="7">
                  <c:v>80.459999999999994</c:v>
                </c:pt>
                <c:pt idx="8">
                  <c:v>74.739999999999995</c:v>
                </c:pt>
                <c:pt idx="9">
                  <c:v>71.84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34F1-41DA-B538-042C6DD3B670}"/>
            </c:ext>
          </c:extLst>
        </c:ser>
        <c:ser>
          <c:idx val="47"/>
          <c:order val="47"/>
          <c:tx>
            <c:strRef>
              <c:f>ККД!$E$51</c:f>
              <c:strCache>
                <c:ptCount val="1"/>
                <c:pt idx="0">
                  <c:v>51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ККД!$G$51:$P$51</c:f>
              <c:numCache>
                <c:formatCode>General</c:formatCode>
                <c:ptCount val="10"/>
                <c:pt idx="0">
                  <c:v>100</c:v>
                </c:pt>
                <c:pt idx="1">
                  <c:v>97.7</c:v>
                </c:pt>
                <c:pt idx="2">
                  <c:v>96.26</c:v>
                </c:pt>
                <c:pt idx="3">
                  <c:v>93.46</c:v>
                </c:pt>
                <c:pt idx="4">
                  <c:v>88.12</c:v>
                </c:pt>
                <c:pt idx="5">
                  <c:v>79.08</c:v>
                </c:pt>
                <c:pt idx="6">
                  <c:v>70.75</c:v>
                </c:pt>
                <c:pt idx="7">
                  <c:v>65.02</c:v>
                </c:pt>
                <c:pt idx="8">
                  <c:v>61.39</c:v>
                </c:pt>
                <c:pt idx="9">
                  <c:v>59.31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4F1-41DA-B538-042C6DD3B670}"/>
            </c:ext>
          </c:extLst>
        </c:ser>
        <c:ser>
          <c:idx val="48"/>
          <c:order val="48"/>
          <c:tx>
            <c:strRef>
              <c:f>ККД!$E$52</c:f>
              <c:strCache>
                <c:ptCount val="1"/>
                <c:pt idx="0">
                  <c:v>41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ККД!$G$52:$P$52</c:f>
              <c:numCache>
                <c:formatCode>General</c:formatCode>
                <c:ptCount val="10"/>
                <c:pt idx="0">
                  <c:v>100</c:v>
                </c:pt>
                <c:pt idx="1">
                  <c:v>96.64</c:v>
                </c:pt>
                <c:pt idx="2">
                  <c:v>94.77</c:v>
                </c:pt>
                <c:pt idx="3">
                  <c:v>90.92</c:v>
                </c:pt>
                <c:pt idx="4">
                  <c:v>82.99</c:v>
                </c:pt>
                <c:pt idx="5">
                  <c:v>71.73</c:v>
                </c:pt>
                <c:pt idx="6">
                  <c:v>64.28</c:v>
                </c:pt>
                <c:pt idx="7">
                  <c:v>59.06</c:v>
                </c:pt>
                <c:pt idx="8">
                  <c:v>55.18</c:v>
                </c:pt>
                <c:pt idx="9">
                  <c:v>53.07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34F1-41DA-B538-042C6DD3B670}"/>
            </c:ext>
          </c:extLst>
        </c:ser>
        <c:ser>
          <c:idx val="49"/>
          <c:order val="49"/>
          <c:tx>
            <c:strRef>
              <c:f>ККД!$E$53</c:f>
              <c:strCache>
                <c:ptCount val="1"/>
                <c:pt idx="0">
                  <c:v>56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ККД!$G$53:$P$53</c:f>
              <c:numCache>
                <c:formatCode>General</c:formatCode>
                <c:ptCount val="10"/>
                <c:pt idx="0">
                  <c:v>100</c:v>
                </c:pt>
                <c:pt idx="1">
                  <c:v>97.21</c:v>
                </c:pt>
                <c:pt idx="2">
                  <c:v>95.34</c:v>
                </c:pt>
                <c:pt idx="3">
                  <c:v>92.53</c:v>
                </c:pt>
                <c:pt idx="4">
                  <c:v>81.87</c:v>
                </c:pt>
                <c:pt idx="5">
                  <c:v>69.31</c:v>
                </c:pt>
                <c:pt idx="6">
                  <c:v>59.66</c:v>
                </c:pt>
                <c:pt idx="7">
                  <c:v>52.5</c:v>
                </c:pt>
                <c:pt idx="8">
                  <c:v>48.47</c:v>
                </c:pt>
                <c:pt idx="9">
                  <c:v>46.11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34F1-41DA-B538-042C6DD3B670}"/>
            </c:ext>
          </c:extLst>
        </c:ser>
        <c:ser>
          <c:idx val="50"/>
          <c:order val="50"/>
          <c:tx>
            <c:strRef>
              <c:f>ККД!$E$54</c:f>
              <c:strCache>
                <c:ptCount val="1"/>
                <c:pt idx="0">
                  <c:v>28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ККД!$G$54:$P$54</c:f>
              <c:numCache>
                <c:formatCode>General</c:formatCode>
                <c:ptCount val="10"/>
                <c:pt idx="0">
                  <c:v>100</c:v>
                </c:pt>
                <c:pt idx="1">
                  <c:v>95.71</c:v>
                </c:pt>
                <c:pt idx="2">
                  <c:v>94.69</c:v>
                </c:pt>
                <c:pt idx="3">
                  <c:v>93.27</c:v>
                </c:pt>
                <c:pt idx="4">
                  <c:v>90.48</c:v>
                </c:pt>
                <c:pt idx="5">
                  <c:v>83.42</c:v>
                </c:pt>
                <c:pt idx="6">
                  <c:v>72.86</c:v>
                </c:pt>
                <c:pt idx="7">
                  <c:v>64.11</c:v>
                </c:pt>
                <c:pt idx="8">
                  <c:v>58.47</c:v>
                </c:pt>
                <c:pt idx="9">
                  <c:v>55.47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34F1-41DA-B538-042C6DD3B670}"/>
            </c:ext>
          </c:extLst>
        </c:ser>
        <c:ser>
          <c:idx val="51"/>
          <c:order val="51"/>
          <c:tx>
            <c:strRef>
              <c:f>ККД!$E$55</c:f>
              <c:strCache>
                <c:ptCount val="1"/>
                <c:pt idx="0">
                  <c:v>262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ККД!$G$55:$P$55</c:f>
              <c:numCache>
                <c:formatCode>General</c:formatCode>
                <c:ptCount val="10"/>
                <c:pt idx="0">
                  <c:v>100</c:v>
                </c:pt>
                <c:pt idx="1">
                  <c:v>90.52</c:v>
                </c:pt>
                <c:pt idx="2">
                  <c:v>84.82</c:v>
                </c:pt>
                <c:pt idx="3">
                  <c:v>72.319999999999993</c:v>
                </c:pt>
                <c:pt idx="4">
                  <c:v>60.41</c:v>
                </c:pt>
                <c:pt idx="5">
                  <c:v>51.78</c:v>
                </c:pt>
                <c:pt idx="6">
                  <c:v>46.26</c:v>
                </c:pt>
                <c:pt idx="7">
                  <c:v>42.25</c:v>
                </c:pt>
                <c:pt idx="8">
                  <c:v>39.549999999999997</c:v>
                </c:pt>
                <c:pt idx="9">
                  <c:v>37.86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34F1-41DA-B538-042C6DD3B670}"/>
            </c:ext>
          </c:extLst>
        </c:ser>
        <c:ser>
          <c:idx val="52"/>
          <c:order val="52"/>
          <c:tx>
            <c:strRef>
              <c:f>ККД!$E$56</c:f>
              <c:strCache>
                <c:ptCount val="1"/>
                <c:pt idx="0">
                  <c:v>19.6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ККД!$G$56:$P$56</c:f>
              <c:numCache>
                <c:formatCode>General</c:formatCode>
                <c:ptCount val="10"/>
                <c:pt idx="0">
                  <c:v>100</c:v>
                </c:pt>
                <c:pt idx="1">
                  <c:v>98.01</c:v>
                </c:pt>
                <c:pt idx="2">
                  <c:v>96.55</c:v>
                </c:pt>
                <c:pt idx="3">
                  <c:v>95.13</c:v>
                </c:pt>
                <c:pt idx="4">
                  <c:v>92.31</c:v>
                </c:pt>
                <c:pt idx="5">
                  <c:v>86.85</c:v>
                </c:pt>
                <c:pt idx="6">
                  <c:v>77.27</c:v>
                </c:pt>
                <c:pt idx="7">
                  <c:v>68.05</c:v>
                </c:pt>
                <c:pt idx="8">
                  <c:v>60.07</c:v>
                </c:pt>
                <c:pt idx="9">
                  <c:v>55.47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34F1-41DA-B538-042C6DD3B670}"/>
            </c:ext>
          </c:extLst>
        </c:ser>
        <c:ser>
          <c:idx val="53"/>
          <c:order val="53"/>
          <c:tx>
            <c:strRef>
              <c:f>ККД!$E$57</c:f>
              <c:strCache>
                <c:ptCount val="1"/>
                <c:pt idx="0">
                  <c:v>5.5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ККД!$G$57:$P$57</c:f>
              <c:numCache>
                <c:formatCode>General</c:formatCode>
                <c:ptCount val="10"/>
                <c:pt idx="0">
                  <c:v>100</c:v>
                </c:pt>
                <c:pt idx="1">
                  <c:v>98.93</c:v>
                </c:pt>
                <c:pt idx="2">
                  <c:v>98.1</c:v>
                </c:pt>
                <c:pt idx="3">
                  <c:v>97.5</c:v>
                </c:pt>
                <c:pt idx="4">
                  <c:v>97.02</c:v>
                </c:pt>
                <c:pt idx="5">
                  <c:v>94.98</c:v>
                </c:pt>
                <c:pt idx="6">
                  <c:v>89.44</c:v>
                </c:pt>
                <c:pt idx="7">
                  <c:v>81.34</c:v>
                </c:pt>
                <c:pt idx="8">
                  <c:v>74.14</c:v>
                </c:pt>
                <c:pt idx="9">
                  <c:v>68.89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34F1-41DA-B538-042C6DD3B670}"/>
            </c:ext>
          </c:extLst>
        </c:ser>
        <c:ser>
          <c:idx val="54"/>
          <c:order val="54"/>
          <c:tx>
            <c:strRef>
              <c:f>ККД!$E$58</c:f>
              <c:strCache>
                <c:ptCount val="1"/>
                <c:pt idx="0">
                  <c:v>7.2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ККД!$G$58:$P$58</c:f>
              <c:numCache>
                <c:formatCode>General</c:formatCode>
                <c:ptCount val="10"/>
                <c:pt idx="0">
                  <c:v>100</c:v>
                </c:pt>
                <c:pt idx="1">
                  <c:v>98.28</c:v>
                </c:pt>
                <c:pt idx="2">
                  <c:v>97.3</c:v>
                </c:pt>
                <c:pt idx="3">
                  <c:v>96.1</c:v>
                </c:pt>
                <c:pt idx="4">
                  <c:v>95.32</c:v>
                </c:pt>
                <c:pt idx="5">
                  <c:v>93.4</c:v>
                </c:pt>
                <c:pt idx="6">
                  <c:v>90.27</c:v>
                </c:pt>
                <c:pt idx="7">
                  <c:v>83.2</c:v>
                </c:pt>
                <c:pt idx="8">
                  <c:v>76</c:v>
                </c:pt>
                <c:pt idx="9">
                  <c:v>71.64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4F1-41DA-B538-042C6DD3B670}"/>
            </c:ext>
          </c:extLst>
        </c:ser>
        <c:ser>
          <c:idx val="55"/>
          <c:order val="55"/>
          <c:tx>
            <c:strRef>
              <c:f>ККД!$E$59</c:f>
              <c:strCache>
                <c:ptCount val="1"/>
                <c:pt idx="0">
                  <c:v>16.0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ККД!$G$59:$P$59</c:f>
              <c:numCache>
                <c:formatCode>General</c:formatCode>
                <c:ptCount val="10"/>
                <c:pt idx="0">
                  <c:v>100</c:v>
                </c:pt>
                <c:pt idx="1">
                  <c:v>98.11</c:v>
                </c:pt>
                <c:pt idx="2">
                  <c:v>96.66</c:v>
                </c:pt>
                <c:pt idx="3">
                  <c:v>95.36</c:v>
                </c:pt>
                <c:pt idx="4">
                  <c:v>91.71</c:v>
                </c:pt>
                <c:pt idx="5">
                  <c:v>86.18</c:v>
                </c:pt>
                <c:pt idx="6">
                  <c:v>77.66</c:v>
                </c:pt>
                <c:pt idx="7">
                  <c:v>70.86</c:v>
                </c:pt>
                <c:pt idx="8">
                  <c:v>65.39</c:v>
                </c:pt>
                <c:pt idx="9">
                  <c:v>62.39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4F1-41DA-B538-042C6DD3B670}"/>
            </c:ext>
          </c:extLst>
        </c:ser>
        <c:ser>
          <c:idx val="56"/>
          <c:order val="56"/>
          <c:tx>
            <c:strRef>
              <c:f>ККД!$E$60</c:f>
              <c:strCache>
                <c:ptCount val="1"/>
                <c:pt idx="0">
                  <c:v>153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ККД!$G$60:$P$60</c:f>
              <c:numCache>
                <c:formatCode>General</c:formatCode>
                <c:ptCount val="10"/>
                <c:pt idx="0">
                  <c:v>100</c:v>
                </c:pt>
                <c:pt idx="1">
                  <c:v>93.81</c:v>
                </c:pt>
                <c:pt idx="2">
                  <c:v>90.66</c:v>
                </c:pt>
                <c:pt idx="3">
                  <c:v>83.82</c:v>
                </c:pt>
                <c:pt idx="4">
                  <c:v>69.86</c:v>
                </c:pt>
                <c:pt idx="5">
                  <c:v>57.06</c:v>
                </c:pt>
                <c:pt idx="6">
                  <c:v>47.77</c:v>
                </c:pt>
                <c:pt idx="7">
                  <c:v>40.299999999999997</c:v>
                </c:pt>
                <c:pt idx="8">
                  <c:v>35.1</c:v>
                </c:pt>
                <c:pt idx="9">
                  <c:v>32.1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4F1-41DA-B538-042C6DD3B670}"/>
            </c:ext>
          </c:extLst>
        </c:ser>
        <c:ser>
          <c:idx val="57"/>
          <c:order val="57"/>
          <c:tx>
            <c:strRef>
              <c:f>ККД!$E$61</c:f>
              <c:strCache>
                <c:ptCount val="1"/>
                <c:pt idx="0">
                  <c:v>188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ККД!$G$61:$P$61</c:f>
              <c:numCache>
                <c:formatCode>General</c:formatCode>
                <c:ptCount val="10"/>
                <c:pt idx="0">
                  <c:v>100</c:v>
                </c:pt>
                <c:pt idx="1">
                  <c:v>94.23</c:v>
                </c:pt>
                <c:pt idx="2">
                  <c:v>91.07</c:v>
                </c:pt>
                <c:pt idx="3">
                  <c:v>81.61</c:v>
                </c:pt>
                <c:pt idx="4">
                  <c:v>66.31</c:v>
                </c:pt>
                <c:pt idx="5">
                  <c:v>54.85</c:v>
                </c:pt>
                <c:pt idx="6">
                  <c:v>46.5</c:v>
                </c:pt>
                <c:pt idx="7">
                  <c:v>40.14</c:v>
                </c:pt>
                <c:pt idx="8">
                  <c:v>35.96</c:v>
                </c:pt>
                <c:pt idx="9">
                  <c:v>33.4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4F1-41DA-B538-042C6DD3B670}"/>
            </c:ext>
          </c:extLst>
        </c:ser>
        <c:ser>
          <c:idx val="58"/>
          <c:order val="58"/>
          <c:tx>
            <c:strRef>
              <c:f>ККД!$E$62</c:f>
              <c:strCache>
                <c:ptCount val="1"/>
                <c:pt idx="0">
                  <c:v>46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ККД!$G$62:$P$62</c:f>
              <c:numCache>
                <c:formatCode>General</c:formatCode>
                <c:ptCount val="10"/>
                <c:pt idx="0">
                  <c:v>100</c:v>
                </c:pt>
                <c:pt idx="1">
                  <c:v>97.07</c:v>
                </c:pt>
                <c:pt idx="2">
                  <c:v>96.2</c:v>
                </c:pt>
                <c:pt idx="3">
                  <c:v>94.27</c:v>
                </c:pt>
                <c:pt idx="4">
                  <c:v>90.67</c:v>
                </c:pt>
                <c:pt idx="5">
                  <c:v>80.63</c:v>
                </c:pt>
                <c:pt idx="6">
                  <c:v>71.67</c:v>
                </c:pt>
                <c:pt idx="7">
                  <c:v>65.45</c:v>
                </c:pt>
                <c:pt idx="8">
                  <c:v>61.02</c:v>
                </c:pt>
                <c:pt idx="9">
                  <c:v>58.45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4F1-41DA-B538-042C6DD3B670}"/>
            </c:ext>
          </c:extLst>
        </c:ser>
        <c:ser>
          <c:idx val="59"/>
          <c:order val="59"/>
          <c:tx>
            <c:strRef>
              <c:f>ККД!$E$63</c:f>
              <c:strCache>
                <c:ptCount val="1"/>
                <c:pt idx="0">
                  <c:v>77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ККД!$G$63:$P$63</c:f>
              <c:numCache>
                <c:formatCode>General</c:formatCode>
                <c:ptCount val="10"/>
                <c:pt idx="0">
                  <c:v>100</c:v>
                </c:pt>
                <c:pt idx="1">
                  <c:v>97</c:v>
                </c:pt>
                <c:pt idx="2">
                  <c:v>94.69</c:v>
                </c:pt>
                <c:pt idx="3">
                  <c:v>90.62</c:v>
                </c:pt>
                <c:pt idx="4">
                  <c:v>77.989999999999995</c:v>
                </c:pt>
                <c:pt idx="5">
                  <c:v>67.59</c:v>
                </c:pt>
                <c:pt idx="6">
                  <c:v>58.95</c:v>
                </c:pt>
                <c:pt idx="7">
                  <c:v>52.03</c:v>
                </c:pt>
                <c:pt idx="8">
                  <c:v>46.89</c:v>
                </c:pt>
                <c:pt idx="9">
                  <c:v>43.89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34F1-41DA-B538-042C6DD3B670}"/>
            </c:ext>
          </c:extLst>
        </c:ser>
        <c:ser>
          <c:idx val="60"/>
          <c:order val="60"/>
          <c:tx>
            <c:strRef>
              <c:f>ККД!$E$64</c:f>
              <c:strCache>
                <c:ptCount val="1"/>
                <c:pt idx="0">
                  <c:v>142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ККД!$G$64:$P$64</c:f>
              <c:numCache>
                <c:formatCode>General</c:formatCode>
                <c:ptCount val="10"/>
                <c:pt idx="0">
                  <c:v>100</c:v>
                </c:pt>
                <c:pt idx="1">
                  <c:v>97.62</c:v>
                </c:pt>
                <c:pt idx="2">
                  <c:v>95.75</c:v>
                </c:pt>
                <c:pt idx="3">
                  <c:v>89.52</c:v>
                </c:pt>
                <c:pt idx="4">
                  <c:v>76.510000000000005</c:v>
                </c:pt>
                <c:pt idx="5">
                  <c:v>65.47</c:v>
                </c:pt>
                <c:pt idx="6">
                  <c:v>56</c:v>
                </c:pt>
                <c:pt idx="7">
                  <c:v>48.32</c:v>
                </c:pt>
                <c:pt idx="8">
                  <c:v>42.45</c:v>
                </c:pt>
                <c:pt idx="9">
                  <c:v>38.14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34F1-41DA-B538-042C6DD3B670}"/>
            </c:ext>
          </c:extLst>
        </c:ser>
        <c:ser>
          <c:idx val="61"/>
          <c:order val="61"/>
          <c:tx>
            <c:strRef>
              <c:f>ККД!$E$65</c:f>
              <c:strCache>
                <c:ptCount val="1"/>
                <c:pt idx="0">
                  <c:v>100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ККД!$G$65:$P$65</c:f>
              <c:numCache>
                <c:formatCode>General</c:formatCode>
                <c:ptCount val="10"/>
                <c:pt idx="0">
                  <c:v>100</c:v>
                </c:pt>
                <c:pt idx="1">
                  <c:v>97.24</c:v>
                </c:pt>
                <c:pt idx="2">
                  <c:v>94.93</c:v>
                </c:pt>
                <c:pt idx="3">
                  <c:v>91.29</c:v>
                </c:pt>
                <c:pt idx="4">
                  <c:v>79.989999999999995</c:v>
                </c:pt>
                <c:pt idx="5">
                  <c:v>67.459999999999994</c:v>
                </c:pt>
                <c:pt idx="6">
                  <c:v>57.69</c:v>
                </c:pt>
                <c:pt idx="7">
                  <c:v>50.03</c:v>
                </c:pt>
                <c:pt idx="8">
                  <c:v>44.32</c:v>
                </c:pt>
                <c:pt idx="9">
                  <c:v>40.82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34F1-41DA-B538-042C6DD3B670}"/>
            </c:ext>
          </c:extLst>
        </c:ser>
        <c:ser>
          <c:idx val="63"/>
          <c:order val="62"/>
          <c:tx>
            <c:strRef>
              <c:f>ККД!$E$66</c:f>
              <c:strCache>
                <c:ptCount val="1"/>
                <c:pt idx="0">
                  <c:v>170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ККД!$G$66:$P$66</c:f>
              <c:numCache>
                <c:formatCode>General</c:formatCode>
                <c:ptCount val="10"/>
                <c:pt idx="0">
                  <c:v>100</c:v>
                </c:pt>
                <c:pt idx="1">
                  <c:v>92.98</c:v>
                </c:pt>
                <c:pt idx="2">
                  <c:v>88.99</c:v>
                </c:pt>
                <c:pt idx="3">
                  <c:v>80.53</c:v>
                </c:pt>
                <c:pt idx="4">
                  <c:v>67.94</c:v>
                </c:pt>
                <c:pt idx="5">
                  <c:v>56.5</c:v>
                </c:pt>
                <c:pt idx="6">
                  <c:v>47.99</c:v>
                </c:pt>
                <c:pt idx="7">
                  <c:v>42.01</c:v>
                </c:pt>
                <c:pt idx="8">
                  <c:v>38.229999999999997</c:v>
                </c:pt>
                <c:pt idx="9">
                  <c:v>35.229999999999997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34F1-41DA-B538-042C6DD3B670}"/>
            </c:ext>
          </c:extLst>
        </c:ser>
        <c:ser>
          <c:idx val="64"/>
          <c:order val="63"/>
          <c:tx>
            <c:strRef>
              <c:f>ККД!$E$67</c:f>
              <c:strCache>
                <c:ptCount val="1"/>
                <c:pt idx="0">
                  <c:v>126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ККД!$G$67:$P$67</c:f>
              <c:numCache>
                <c:formatCode>General</c:formatCode>
                <c:ptCount val="10"/>
                <c:pt idx="0">
                  <c:v>100</c:v>
                </c:pt>
                <c:pt idx="1">
                  <c:v>96.18</c:v>
                </c:pt>
                <c:pt idx="2">
                  <c:v>93.18</c:v>
                </c:pt>
                <c:pt idx="3">
                  <c:v>86.01</c:v>
                </c:pt>
                <c:pt idx="4">
                  <c:v>73.58</c:v>
                </c:pt>
                <c:pt idx="5">
                  <c:v>62.76</c:v>
                </c:pt>
                <c:pt idx="6">
                  <c:v>54.38</c:v>
                </c:pt>
                <c:pt idx="7">
                  <c:v>48.59</c:v>
                </c:pt>
                <c:pt idx="8">
                  <c:v>44.18</c:v>
                </c:pt>
                <c:pt idx="9">
                  <c:v>41.6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34F1-41DA-B538-042C6DD3B670}"/>
            </c:ext>
          </c:extLst>
        </c:ser>
        <c:ser>
          <c:idx val="65"/>
          <c:order val="64"/>
          <c:tx>
            <c:strRef>
              <c:f>ККД!$E$68</c:f>
              <c:strCache>
                <c:ptCount val="1"/>
                <c:pt idx="0">
                  <c:v>454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ККД!$G$68:$P$68</c:f>
              <c:numCache>
                <c:formatCode>General</c:formatCode>
                <c:ptCount val="10"/>
                <c:pt idx="0">
                  <c:v>100</c:v>
                </c:pt>
                <c:pt idx="1">
                  <c:v>83.15</c:v>
                </c:pt>
                <c:pt idx="2">
                  <c:v>74.92</c:v>
                </c:pt>
                <c:pt idx="3">
                  <c:v>61.96</c:v>
                </c:pt>
                <c:pt idx="4">
                  <c:v>51.09</c:v>
                </c:pt>
                <c:pt idx="5">
                  <c:v>43.19</c:v>
                </c:pt>
                <c:pt idx="6">
                  <c:v>37.22</c:v>
                </c:pt>
                <c:pt idx="7">
                  <c:v>32.97</c:v>
                </c:pt>
                <c:pt idx="8">
                  <c:v>30.02</c:v>
                </c:pt>
                <c:pt idx="9">
                  <c:v>27.86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34F1-41DA-B538-042C6DD3B670}"/>
            </c:ext>
          </c:extLst>
        </c:ser>
        <c:ser>
          <c:idx val="66"/>
          <c:order val="65"/>
          <c:tx>
            <c:strRef>
              <c:f>ККД!$E$69</c:f>
              <c:strCache>
                <c:ptCount val="1"/>
                <c:pt idx="0">
                  <c:v>10.6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ККД!$G$69:$P$69</c:f>
              <c:numCache>
                <c:formatCode>General</c:formatCode>
                <c:ptCount val="10"/>
                <c:pt idx="0">
                  <c:v>100</c:v>
                </c:pt>
                <c:pt idx="1">
                  <c:v>98.39</c:v>
                </c:pt>
                <c:pt idx="2">
                  <c:v>97.39</c:v>
                </c:pt>
                <c:pt idx="3">
                  <c:v>96.06</c:v>
                </c:pt>
                <c:pt idx="4">
                  <c:v>93.74</c:v>
                </c:pt>
                <c:pt idx="5">
                  <c:v>89.28</c:v>
                </c:pt>
                <c:pt idx="6">
                  <c:v>81.36</c:v>
                </c:pt>
                <c:pt idx="7">
                  <c:v>73.239999999999995</c:v>
                </c:pt>
                <c:pt idx="8">
                  <c:v>67.67</c:v>
                </c:pt>
                <c:pt idx="9">
                  <c:v>63.83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34F1-41DA-B538-042C6DD3B670}"/>
            </c:ext>
          </c:extLst>
        </c:ser>
        <c:ser>
          <c:idx val="67"/>
          <c:order val="66"/>
          <c:tx>
            <c:strRef>
              <c:f>ККД!$E$70</c:f>
              <c:strCache>
                <c:ptCount val="1"/>
                <c:pt idx="0">
                  <c:v>39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ККД!$G$70:$P$70</c:f>
              <c:numCache>
                <c:formatCode>General</c:formatCode>
                <c:ptCount val="10"/>
                <c:pt idx="0">
                  <c:v>100</c:v>
                </c:pt>
                <c:pt idx="1">
                  <c:v>97.73</c:v>
                </c:pt>
                <c:pt idx="2">
                  <c:v>97.17</c:v>
                </c:pt>
                <c:pt idx="3">
                  <c:v>96.03</c:v>
                </c:pt>
                <c:pt idx="4">
                  <c:v>92.46</c:v>
                </c:pt>
                <c:pt idx="5">
                  <c:v>84.36</c:v>
                </c:pt>
                <c:pt idx="6">
                  <c:v>75.349999999999994</c:v>
                </c:pt>
                <c:pt idx="7">
                  <c:v>68.180000000000007</c:v>
                </c:pt>
                <c:pt idx="8">
                  <c:v>63.21</c:v>
                </c:pt>
                <c:pt idx="9">
                  <c:v>60.21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34F1-41DA-B538-042C6DD3B670}"/>
            </c:ext>
          </c:extLst>
        </c:ser>
        <c:ser>
          <c:idx val="68"/>
          <c:order val="67"/>
          <c:tx>
            <c:strRef>
              <c:f>ККД!$E$71</c:f>
              <c:strCache>
                <c:ptCount val="1"/>
                <c:pt idx="0">
                  <c:v>67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ККД!$G$71:$P$71</c:f>
              <c:numCache>
                <c:formatCode>General</c:formatCode>
                <c:ptCount val="10"/>
                <c:pt idx="0">
                  <c:v>100</c:v>
                </c:pt>
                <c:pt idx="1">
                  <c:v>96.51</c:v>
                </c:pt>
                <c:pt idx="2">
                  <c:v>94.64</c:v>
                </c:pt>
                <c:pt idx="3">
                  <c:v>90.62</c:v>
                </c:pt>
                <c:pt idx="4">
                  <c:v>79.37</c:v>
                </c:pt>
                <c:pt idx="5">
                  <c:v>68.260000000000005</c:v>
                </c:pt>
                <c:pt idx="6">
                  <c:v>60.81</c:v>
                </c:pt>
                <c:pt idx="7">
                  <c:v>55.05</c:v>
                </c:pt>
                <c:pt idx="8">
                  <c:v>50.67</c:v>
                </c:pt>
                <c:pt idx="9">
                  <c:v>47.67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34F1-41DA-B538-042C6DD3B670}"/>
            </c:ext>
          </c:extLst>
        </c:ser>
        <c:ser>
          <c:idx val="69"/>
          <c:order val="68"/>
          <c:tx>
            <c:strRef>
              <c:f>ККД!$E$72</c:f>
              <c:strCache>
                <c:ptCount val="1"/>
                <c:pt idx="0">
                  <c:v>3.4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6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ККД!$G$72:$P$72</c:f>
              <c:numCache>
                <c:formatCode>General</c:formatCode>
                <c:ptCount val="10"/>
                <c:pt idx="0">
                  <c:v>100</c:v>
                </c:pt>
                <c:pt idx="1">
                  <c:v>98.66</c:v>
                </c:pt>
                <c:pt idx="2">
                  <c:v>98.2</c:v>
                </c:pt>
                <c:pt idx="3">
                  <c:v>97.9</c:v>
                </c:pt>
                <c:pt idx="4">
                  <c:v>97.2</c:v>
                </c:pt>
                <c:pt idx="5">
                  <c:v>96.1</c:v>
                </c:pt>
                <c:pt idx="6">
                  <c:v>92.79</c:v>
                </c:pt>
                <c:pt idx="7">
                  <c:v>85</c:v>
                </c:pt>
                <c:pt idx="8">
                  <c:v>78.2</c:v>
                </c:pt>
                <c:pt idx="9">
                  <c:v>74.099999999999994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34F1-41DA-B538-042C6DD3B670}"/>
            </c:ext>
          </c:extLst>
        </c:ser>
        <c:ser>
          <c:idx val="71"/>
          <c:order val="69"/>
          <c:tx>
            <c:strRef>
              <c:f>ККД!$E$74</c:f>
              <c:strCache>
                <c:ptCount val="1"/>
                <c:pt idx="0">
                  <c:v>90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ККД!$G$74:$P$74</c:f>
              <c:numCache>
                <c:formatCode>General</c:formatCode>
                <c:ptCount val="10"/>
                <c:pt idx="0">
                  <c:v>100</c:v>
                </c:pt>
                <c:pt idx="1">
                  <c:v>93.51</c:v>
                </c:pt>
                <c:pt idx="2">
                  <c:v>91.33</c:v>
                </c:pt>
                <c:pt idx="3">
                  <c:v>86.16</c:v>
                </c:pt>
                <c:pt idx="4">
                  <c:v>74.069999999999993</c:v>
                </c:pt>
                <c:pt idx="5">
                  <c:v>63.42</c:v>
                </c:pt>
                <c:pt idx="6">
                  <c:v>53.92</c:v>
                </c:pt>
                <c:pt idx="7">
                  <c:v>46.16</c:v>
                </c:pt>
                <c:pt idx="8">
                  <c:v>39.78</c:v>
                </c:pt>
                <c:pt idx="9">
                  <c:v>35.47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34F1-41DA-B538-042C6DD3B670}"/>
            </c:ext>
          </c:extLst>
        </c:ser>
        <c:ser>
          <c:idx val="72"/>
          <c:order val="70"/>
          <c:tx>
            <c:strRef>
              <c:f>ККД!$E$75</c:f>
              <c:strCache>
                <c:ptCount val="1"/>
                <c:pt idx="0">
                  <c:v>88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ККД!$G$75:$P$75</c:f>
              <c:numCache>
                <c:formatCode>General</c:formatCode>
                <c:ptCount val="10"/>
                <c:pt idx="0">
                  <c:v>100</c:v>
                </c:pt>
                <c:pt idx="1">
                  <c:v>97.15</c:v>
                </c:pt>
                <c:pt idx="2">
                  <c:v>95.28</c:v>
                </c:pt>
                <c:pt idx="3">
                  <c:v>91.27</c:v>
                </c:pt>
                <c:pt idx="4">
                  <c:v>80.760000000000005</c:v>
                </c:pt>
                <c:pt idx="5">
                  <c:v>68.739999999999995</c:v>
                </c:pt>
                <c:pt idx="6">
                  <c:v>58.41</c:v>
                </c:pt>
                <c:pt idx="7">
                  <c:v>51.26</c:v>
                </c:pt>
                <c:pt idx="8">
                  <c:v>46.34</c:v>
                </c:pt>
                <c:pt idx="9">
                  <c:v>43.34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34F1-41DA-B538-042C6DD3B670}"/>
            </c:ext>
          </c:extLst>
        </c:ser>
        <c:ser>
          <c:idx val="73"/>
          <c:order val="71"/>
          <c:tx>
            <c:strRef>
              <c:f>ККД!$E$76</c:f>
              <c:strCache>
                <c:ptCount val="1"/>
                <c:pt idx="0">
                  <c:v>154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ККД!$G$76:$P$76</c:f>
              <c:numCache>
                <c:formatCode>General</c:formatCode>
                <c:ptCount val="10"/>
                <c:pt idx="0">
                  <c:v>100</c:v>
                </c:pt>
                <c:pt idx="1">
                  <c:v>95.76</c:v>
                </c:pt>
                <c:pt idx="2">
                  <c:v>92.15</c:v>
                </c:pt>
                <c:pt idx="3">
                  <c:v>80.959999999999994</c:v>
                </c:pt>
                <c:pt idx="4">
                  <c:v>68.760000000000005</c:v>
                </c:pt>
                <c:pt idx="5">
                  <c:v>59.36</c:v>
                </c:pt>
                <c:pt idx="6">
                  <c:v>51.65</c:v>
                </c:pt>
                <c:pt idx="7">
                  <c:v>46.08</c:v>
                </c:pt>
                <c:pt idx="8">
                  <c:v>42.01</c:v>
                </c:pt>
                <c:pt idx="9">
                  <c:v>39.31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34F1-41DA-B538-042C6DD3B670}"/>
            </c:ext>
          </c:extLst>
        </c:ser>
        <c:ser>
          <c:idx val="74"/>
          <c:order val="72"/>
          <c:tx>
            <c:strRef>
              <c:f>ККД!$E$77</c:f>
              <c:strCache>
                <c:ptCount val="1"/>
                <c:pt idx="0">
                  <c:v>148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ККД!$G$77:$P$77</c:f>
              <c:numCache>
                <c:formatCode>General</c:formatCode>
                <c:ptCount val="10"/>
                <c:pt idx="0">
                  <c:v>100</c:v>
                </c:pt>
                <c:pt idx="1">
                  <c:v>95.82</c:v>
                </c:pt>
                <c:pt idx="2">
                  <c:v>93</c:v>
                </c:pt>
                <c:pt idx="3">
                  <c:v>82.1</c:v>
                </c:pt>
                <c:pt idx="4">
                  <c:v>69.39</c:v>
                </c:pt>
                <c:pt idx="5">
                  <c:v>60.07</c:v>
                </c:pt>
                <c:pt idx="6">
                  <c:v>52.68</c:v>
                </c:pt>
                <c:pt idx="7">
                  <c:v>47.16</c:v>
                </c:pt>
                <c:pt idx="8">
                  <c:v>43</c:v>
                </c:pt>
                <c:pt idx="9">
                  <c:v>40.47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34F1-41DA-B538-042C6DD3B670}"/>
            </c:ext>
          </c:extLst>
        </c:ser>
        <c:ser>
          <c:idx val="76"/>
          <c:order val="73"/>
          <c:tx>
            <c:strRef>
              <c:f>ККД!$E$78</c:f>
              <c:strCache>
                <c:ptCount val="1"/>
                <c:pt idx="0">
                  <c:v>149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ККД!$G$78:$P$78</c:f>
              <c:numCache>
                <c:formatCode>General</c:formatCode>
                <c:ptCount val="10"/>
                <c:pt idx="0">
                  <c:v>100</c:v>
                </c:pt>
                <c:pt idx="1">
                  <c:v>94.61</c:v>
                </c:pt>
                <c:pt idx="2">
                  <c:v>92.3</c:v>
                </c:pt>
                <c:pt idx="3">
                  <c:v>81.83</c:v>
                </c:pt>
                <c:pt idx="4">
                  <c:v>67.849999999999994</c:v>
                </c:pt>
                <c:pt idx="5">
                  <c:v>57.77</c:v>
                </c:pt>
                <c:pt idx="6">
                  <c:v>49.9</c:v>
                </c:pt>
                <c:pt idx="7">
                  <c:v>43.86</c:v>
                </c:pt>
                <c:pt idx="8">
                  <c:v>40.03</c:v>
                </c:pt>
                <c:pt idx="9">
                  <c:v>37.869999999999997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34F1-41DA-B538-042C6DD3B670}"/>
            </c:ext>
          </c:extLst>
        </c:ser>
        <c:ser>
          <c:idx val="77"/>
          <c:order val="74"/>
          <c:tx>
            <c:strRef>
              <c:f>ККД!$E$79</c:f>
              <c:strCache>
                <c:ptCount val="1"/>
                <c:pt idx="0">
                  <c:v>98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ККД!$G$79:$P$79</c:f>
              <c:numCache>
                <c:formatCode>General</c:formatCode>
                <c:ptCount val="10"/>
                <c:pt idx="0">
                  <c:v>100</c:v>
                </c:pt>
                <c:pt idx="1">
                  <c:v>96.55</c:v>
                </c:pt>
                <c:pt idx="2">
                  <c:v>93.37</c:v>
                </c:pt>
                <c:pt idx="3">
                  <c:v>87.4</c:v>
                </c:pt>
                <c:pt idx="4">
                  <c:v>75.650000000000006</c:v>
                </c:pt>
                <c:pt idx="5">
                  <c:v>64.5</c:v>
                </c:pt>
                <c:pt idx="6">
                  <c:v>57.32</c:v>
                </c:pt>
                <c:pt idx="7">
                  <c:v>51.51</c:v>
                </c:pt>
                <c:pt idx="8">
                  <c:v>47.64</c:v>
                </c:pt>
                <c:pt idx="9">
                  <c:v>45.06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34F1-41DA-B538-042C6DD3B670}"/>
            </c:ext>
          </c:extLst>
        </c:ser>
        <c:ser>
          <c:idx val="78"/>
          <c:order val="75"/>
          <c:tx>
            <c:strRef>
              <c:f>ККД!$E$80</c:f>
              <c:strCache>
                <c:ptCount val="1"/>
                <c:pt idx="0">
                  <c:v>61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ККД!$G$80:$P$80</c:f>
              <c:numCache>
                <c:formatCode>General</c:formatCode>
                <c:ptCount val="10"/>
                <c:pt idx="0">
                  <c:v>100</c:v>
                </c:pt>
                <c:pt idx="1">
                  <c:v>97.05</c:v>
                </c:pt>
                <c:pt idx="2">
                  <c:v>95.18</c:v>
                </c:pt>
                <c:pt idx="3">
                  <c:v>91.91</c:v>
                </c:pt>
                <c:pt idx="4">
                  <c:v>81.45</c:v>
                </c:pt>
                <c:pt idx="5">
                  <c:v>70.48</c:v>
                </c:pt>
                <c:pt idx="6">
                  <c:v>62.03</c:v>
                </c:pt>
                <c:pt idx="7">
                  <c:v>55.69</c:v>
                </c:pt>
                <c:pt idx="8">
                  <c:v>51.52</c:v>
                </c:pt>
                <c:pt idx="9">
                  <c:v>48.96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34F1-41DA-B538-042C6DD3B670}"/>
            </c:ext>
          </c:extLst>
        </c:ser>
        <c:ser>
          <c:idx val="79"/>
          <c:order val="76"/>
          <c:tx>
            <c:strRef>
              <c:f>ККД!$E$81</c:f>
              <c:strCache>
                <c:ptCount val="1"/>
                <c:pt idx="0">
                  <c:v>78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ККД!$G$81:$P$81</c:f>
              <c:numCache>
                <c:formatCode>General</c:formatCode>
                <c:ptCount val="10"/>
                <c:pt idx="0">
                  <c:v>100</c:v>
                </c:pt>
                <c:pt idx="1">
                  <c:v>97.93</c:v>
                </c:pt>
                <c:pt idx="2">
                  <c:v>96.06</c:v>
                </c:pt>
                <c:pt idx="3">
                  <c:v>91.31</c:v>
                </c:pt>
                <c:pt idx="4">
                  <c:v>79.900000000000006</c:v>
                </c:pt>
                <c:pt idx="5">
                  <c:v>68.87</c:v>
                </c:pt>
                <c:pt idx="6">
                  <c:v>59.62</c:v>
                </c:pt>
                <c:pt idx="7">
                  <c:v>52.97</c:v>
                </c:pt>
                <c:pt idx="8">
                  <c:v>48.5</c:v>
                </c:pt>
                <c:pt idx="9">
                  <c:v>45.94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34F1-41DA-B538-042C6DD3B670}"/>
            </c:ext>
          </c:extLst>
        </c:ser>
        <c:ser>
          <c:idx val="80"/>
          <c:order val="77"/>
          <c:tx>
            <c:strRef>
              <c:f>ККД!$E$82</c:f>
              <c:strCache>
                <c:ptCount val="1"/>
                <c:pt idx="0">
                  <c:v>20.0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6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ККД!$G$82:$P$82</c:f>
              <c:numCache>
                <c:formatCode>General</c:formatCode>
                <c:ptCount val="10"/>
                <c:pt idx="0">
                  <c:v>100</c:v>
                </c:pt>
                <c:pt idx="1">
                  <c:v>98.24</c:v>
                </c:pt>
                <c:pt idx="2">
                  <c:v>97.04</c:v>
                </c:pt>
                <c:pt idx="3">
                  <c:v>95.84</c:v>
                </c:pt>
                <c:pt idx="4">
                  <c:v>92.84</c:v>
                </c:pt>
                <c:pt idx="5">
                  <c:v>86.33</c:v>
                </c:pt>
                <c:pt idx="6">
                  <c:v>78.819999999999993</c:v>
                </c:pt>
                <c:pt idx="7">
                  <c:v>72.87</c:v>
                </c:pt>
                <c:pt idx="8">
                  <c:v>67.930000000000007</c:v>
                </c:pt>
                <c:pt idx="9">
                  <c:v>64.930000000000007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34F1-41DA-B538-042C6DD3B670}"/>
            </c:ext>
          </c:extLst>
        </c:ser>
        <c:ser>
          <c:idx val="81"/>
          <c:order val="78"/>
          <c:tx>
            <c:strRef>
              <c:f>ККД!$E$83</c:f>
              <c:strCache>
                <c:ptCount val="1"/>
                <c:pt idx="0">
                  <c:v>0.3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circle"/>
            <c:size val="6"/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ККД!$G$83:$P$83</c:f>
              <c:numCache>
                <c:formatCode>General</c:formatCode>
                <c:ptCount val="10"/>
                <c:pt idx="0">
                  <c:v>100</c:v>
                </c:pt>
                <c:pt idx="1">
                  <c:v>98.57</c:v>
                </c:pt>
                <c:pt idx="2">
                  <c:v>98.14</c:v>
                </c:pt>
                <c:pt idx="3">
                  <c:v>97.7</c:v>
                </c:pt>
                <c:pt idx="4">
                  <c:v>97.26</c:v>
                </c:pt>
                <c:pt idx="5">
                  <c:v>96.46</c:v>
                </c:pt>
                <c:pt idx="6">
                  <c:v>95.69</c:v>
                </c:pt>
                <c:pt idx="7">
                  <c:v>93.64</c:v>
                </c:pt>
                <c:pt idx="8">
                  <c:v>87.23</c:v>
                </c:pt>
                <c:pt idx="9">
                  <c:v>83.84</c:v>
                </c:pt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34F1-41DA-B538-042C6DD3B670}"/>
            </c:ext>
          </c:extLst>
        </c:ser>
        <c:ser>
          <c:idx val="82"/>
          <c:order val="79"/>
          <c:tx>
            <c:strRef>
              <c:f>ККД!$E$84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ККД!$G$84:$P$84</c:f>
              <c:numCache>
                <c:formatCode>General</c:formatCode>
                <c:ptCount val="10"/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34F1-41DA-B538-042C6DD3B670}"/>
            </c:ext>
          </c:extLst>
        </c:ser>
        <c:ser>
          <c:idx val="83"/>
          <c:order val="80"/>
          <c:tx>
            <c:strRef>
              <c:f>ККД!$E$85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ККД!$G$85:$P$85</c:f>
              <c:numCache>
                <c:formatCode>General</c:formatCode>
                <c:ptCount val="10"/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34F1-41DA-B538-042C6DD3B670}"/>
            </c:ext>
          </c:extLst>
        </c:ser>
        <c:ser>
          <c:idx val="84"/>
          <c:order val="81"/>
          <c:tx>
            <c:strRef>
              <c:f>ККД!$E$86</c:f>
              <c:strCache>
                <c:ptCount val="1"/>
              </c:strCache>
            </c:strRef>
          </c:tx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ККД!$G$86:$P$86</c:f>
              <c:numCache>
                <c:formatCode>General</c:formatCode>
                <c:ptCount val="10"/>
              </c:numCache>
            </c:numRef>
          </c:xVal>
          <c:yVal>
            <c:numRef>
              <c:f>ККД!$G$2:$P$2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34F1-41DA-B538-042C6DD3B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149727"/>
        <c:axId val="783148287"/>
      </c:scatterChart>
      <c:valAx>
        <c:axId val="783149727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Кв,</a:t>
                </a:r>
                <a:r>
                  <a:rPr lang="ru-RU" baseline="0"/>
                  <a:t> %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3148287"/>
        <c:crosses val="autoZero"/>
        <c:crossBetween val="midCat"/>
      </c:valAx>
      <c:valAx>
        <c:axId val="783148287"/>
        <c:scaling>
          <c:logBase val="10"/>
          <c:orientation val="minMax"/>
          <c:max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</a:t>
                </a:r>
                <a:r>
                  <a:rPr lang="ru-RU"/>
                  <a:t>к,</a:t>
                </a:r>
                <a:r>
                  <a:rPr lang="ru-RU" baseline="0"/>
                  <a:t> МПа</a:t>
                </a:r>
                <a:endParaRPr lang="ru-RU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83149727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Кво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'Для аппроксимации'!$E$5:$E$84</c:f>
              <c:numCache>
                <c:formatCode>0.0</c:formatCode>
                <c:ptCount val="80"/>
                <c:pt idx="0" formatCode="0">
                  <c:v>38.140999999999998</c:v>
                </c:pt>
                <c:pt idx="1">
                  <c:v>16.763000000000002</c:v>
                </c:pt>
                <c:pt idx="2">
                  <c:v>12.314</c:v>
                </c:pt>
                <c:pt idx="3" formatCode="0">
                  <c:v>50.798999999999999</c:v>
                </c:pt>
                <c:pt idx="4" formatCode="0">
                  <c:v>38.279000000000003</c:v>
                </c:pt>
                <c:pt idx="5" formatCode="0">
                  <c:v>165.04599999999999</c:v>
                </c:pt>
                <c:pt idx="6">
                  <c:v>19.3626</c:v>
                </c:pt>
                <c:pt idx="7" formatCode="0">
                  <c:v>41.848999999999997</c:v>
                </c:pt>
                <c:pt idx="8" formatCode="0">
                  <c:v>39.237000000000002</c:v>
                </c:pt>
                <c:pt idx="9" formatCode="0">
                  <c:v>68.259399999999999</c:v>
                </c:pt>
                <c:pt idx="10">
                  <c:v>6.1269999999999998</c:v>
                </c:pt>
                <c:pt idx="11">
                  <c:v>8.2235999999999994</c:v>
                </c:pt>
                <c:pt idx="12">
                  <c:v>9.8209999999999997</c:v>
                </c:pt>
                <c:pt idx="13">
                  <c:v>5.2279999999999998</c:v>
                </c:pt>
                <c:pt idx="14">
                  <c:v>11.9</c:v>
                </c:pt>
                <c:pt idx="15">
                  <c:v>9.3070000000000004</c:v>
                </c:pt>
                <c:pt idx="16" formatCode="0">
                  <c:v>193.91</c:v>
                </c:pt>
                <c:pt idx="17" formatCode="0">
                  <c:v>73.666700000000006</c:v>
                </c:pt>
                <c:pt idx="18" formatCode="0">
                  <c:v>872.59400000000005</c:v>
                </c:pt>
                <c:pt idx="19">
                  <c:v>6.4406999999999996</c:v>
                </c:pt>
                <c:pt idx="20" formatCode="0">
                  <c:v>46.975999999999999</c:v>
                </c:pt>
                <c:pt idx="21" formatCode="0">
                  <c:v>103.875</c:v>
                </c:pt>
                <c:pt idx="22" formatCode="0">
                  <c:v>213.971</c:v>
                </c:pt>
                <c:pt idx="23" formatCode="0">
                  <c:v>63.169199999999996</c:v>
                </c:pt>
                <c:pt idx="24">
                  <c:v>8.7720000000000002</c:v>
                </c:pt>
                <c:pt idx="25" formatCode="0">
                  <c:v>276.43689999999998</c:v>
                </c:pt>
                <c:pt idx="26" formatCode="0">
                  <c:v>29.881900000000002</c:v>
                </c:pt>
                <c:pt idx="27" formatCode="0">
                  <c:v>375.00799999999998</c:v>
                </c:pt>
                <c:pt idx="28" formatCode="0">
                  <c:v>306.14699999999999</c:v>
                </c:pt>
                <c:pt idx="29" formatCode="0">
                  <c:v>40.808</c:v>
                </c:pt>
                <c:pt idx="30" formatCode="0">
                  <c:v>169.387</c:v>
                </c:pt>
                <c:pt idx="31" formatCode="0">
                  <c:v>333.49700000000001</c:v>
                </c:pt>
                <c:pt idx="32">
                  <c:v>20.532</c:v>
                </c:pt>
                <c:pt idx="33" formatCode="0">
                  <c:v>202.16499999999999</c:v>
                </c:pt>
                <c:pt idx="34" formatCode="0">
                  <c:v>252.63300000000001</c:v>
                </c:pt>
                <c:pt idx="35" formatCode="0">
                  <c:v>108.1237</c:v>
                </c:pt>
                <c:pt idx="36" formatCode="0">
                  <c:v>76.37</c:v>
                </c:pt>
                <c:pt idx="37" formatCode="0">
                  <c:v>51.557600000000001</c:v>
                </c:pt>
                <c:pt idx="38" formatCode="0">
                  <c:v>28.366499999999998</c:v>
                </c:pt>
                <c:pt idx="39" formatCode="0">
                  <c:v>366.0052</c:v>
                </c:pt>
                <c:pt idx="40" formatCode="0">
                  <c:v>153.71109999999999</c:v>
                </c:pt>
                <c:pt idx="41" formatCode="0">
                  <c:v>257.803</c:v>
                </c:pt>
                <c:pt idx="42" formatCode="0">
                  <c:v>720.02599999999995</c:v>
                </c:pt>
                <c:pt idx="43" formatCode="0">
                  <c:v>129.12700000000001</c:v>
                </c:pt>
                <c:pt idx="44">
                  <c:v>20.324999999999999</c:v>
                </c:pt>
                <c:pt idx="45">
                  <c:v>14.2</c:v>
                </c:pt>
                <c:pt idx="46">
                  <c:v>6.0469999999999997</c:v>
                </c:pt>
                <c:pt idx="47" formatCode="0">
                  <c:v>51.198999999999998</c:v>
                </c:pt>
                <c:pt idx="48" formatCode="0">
                  <c:v>41.248699999999999</c:v>
                </c:pt>
                <c:pt idx="49" formatCode="0">
                  <c:v>56.128</c:v>
                </c:pt>
                <c:pt idx="50" formatCode="0">
                  <c:v>27.78</c:v>
                </c:pt>
                <c:pt idx="51" formatCode="0">
                  <c:v>261.74700000000001</c:v>
                </c:pt>
                <c:pt idx="52">
                  <c:v>19.635000000000002</c:v>
                </c:pt>
                <c:pt idx="53">
                  <c:v>5.5419999999999998</c:v>
                </c:pt>
                <c:pt idx="54">
                  <c:v>7.1840000000000002</c:v>
                </c:pt>
                <c:pt idx="55">
                  <c:v>15.9594</c:v>
                </c:pt>
                <c:pt idx="56" formatCode="0">
                  <c:v>153.31780000000001</c:v>
                </c:pt>
                <c:pt idx="57" formatCode="0">
                  <c:v>187.559</c:v>
                </c:pt>
                <c:pt idx="58" formatCode="0">
                  <c:v>45.847900000000003</c:v>
                </c:pt>
                <c:pt idx="59" formatCode="0">
                  <c:v>76.739599999999996</c:v>
                </c:pt>
                <c:pt idx="60" formatCode="0">
                  <c:v>142.19470000000001</c:v>
                </c:pt>
                <c:pt idx="61" formatCode="0">
                  <c:v>99.798000000000002</c:v>
                </c:pt>
                <c:pt idx="62" formatCode="0">
                  <c:v>169.6362</c:v>
                </c:pt>
                <c:pt idx="63" formatCode="0">
                  <c:v>125.72799999999999</c:v>
                </c:pt>
                <c:pt idx="64" formatCode="0">
                  <c:v>454.41309999999999</c:v>
                </c:pt>
                <c:pt idx="65">
                  <c:v>10.573</c:v>
                </c:pt>
                <c:pt idx="66" formatCode="0">
                  <c:v>39.378999999999998</c:v>
                </c:pt>
                <c:pt idx="67" formatCode="0">
                  <c:v>66.616600000000005</c:v>
                </c:pt>
                <c:pt idx="68">
                  <c:v>3.3816999999999999</c:v>
                </c:pt>
                <c:pt idx="69">
                  <c:v>3.3816999999999999</c:v>
                </c:pt>
                <c:pt idx="70" formatCode="0">
                  <c:v>89.645099999999999</c:v>
                </c:pt>
                <c:pt idx="71" formatCode="0">
                  <c:v>88.275999999999996</c:v>
                </c:pt>
                <c:pt idx="72" formatCode="0">
                  <c:v>154.18119999999999</c:v>
                </c:pt>
                <c:pt idx="73" formatCode="0">
                  <c:v>148.3305</c:v>
                </c:pt>
                <c:pt idx="74" formatCode="0">
                  <c:v>148.87970000000001</c:v>
                </c:pt>
                <c:pt idx="75" formatCode="0">
                  <c:v>97.968000000000004</c:v>
                </c:pt>
                <c:pt idx="76" formatCode="0">
                  <c:v>60.822400000000002</c:v>
                </c:pt>
                <c:pt idx="77" formatCode="0">
                  <c:v>77.78</c:v>
                </c:pt>
                <c:pt idx="78">
                  <c:v>19.978000000000002</c:v>
                </c:pt>
                <c:pt idx="79">
                  <c:v>19.978000000000002</c:v>
                </c:pt>
              </c:numCache>
            </c:numRef>
          </c:xVal>
          <c:yVal>
            <c:numRef>
              <c:f>'Для аппроксимации'!$P$5:$P$84</c:f>
              <c:numCache>
                <c:formatCode>General</c:formatCode>
                <c:ptCount val="80"/>
                <c:pt idx="0">
                  <c:v>56.31</c:v>
                </c:pt>
                <c:pt idx="1">
                  <c:v>62.01</c:v>
                </c:pt>
                <c:pt idx="2">
                  <c:v>62.9</c:v>
                </c:pt>
                <c:pt idx="3">
                  <c:v>54.3</c:v>
                </c:pt>
                <c:pt idx="4">
                  <c:v>53.15</c:v>
                </c:pt>
                <c:pt idx="5">
                  <c:v>34.54</c:v>
                </c:pt>
                <c:pt idx="6">
                  <c:v>54.67</c:v>
                </c:pt>
                <c:pt idx="7">
                  <c:v>45.12</c:v>
                </c:pt>
                <c:pt idx="8">
                  <c:v>56.39</c:v>
                </c:pt>
                <c:pt idx="9">
                  <c:v>54.09</c:v>
                </c:pt>
                <c:pt idx="10">
                  <c:v>71.06</c:v>
                </c:pt>
                <c:pt idx="11">
                  <c:v>61.89</c:v>
                </c:pt>
                <c:pt idx="12">
                  <c:v>68.81</c:v>
                </c:pt>
                <c:pt idx="13">
                  <c:v>72.61</c:v>
                </c:pt>
                <c:pt idx="14">
                  <c:v>64.56</c:v>
                </c:pt>
                <c:pt idx="15">
                  <c:v>64.8</c:v>
                </c:pt>
                <c:pt idx="16">
                  <c:v>41.41</c:v>
                </c:pt>
                <c:pt idx="17">
                  <c:v>47.6</c:v>
                </c:pt>
                <c:pt idx="18">
                  <c:v>24.76</c:v>
                </c:pt>
                <c:pt idx="19">
                  <c:v>67.69</c:v>
                </c:pt>
                <c:pt idx="20">
                  <c:v>54.93</c:v>
                </c:pt>
                <c:pt idx="21">
                  <c:v>43.04</c:v>
                </c:pt>
                <c:pt idx="22">
                  <c:v>35.03</c:v>
                </c:pt>
                <c:pt idx="23">
                  <c:v>40.76</c:v>
                </c:pt>
                <c:pt idx="24">
                  <c:v>64.22</c:v>
                </c:pt>
                <c:pt idx="25">
                  <c:v>39.020000000000003</c:v>
                </c:pt>
                <c:pt idx="26">
                  <c:v>53.52</c:v>
                </c:pt>
                <c:pt idx="27">
                  <c:v>35.44</c:v>
                </c:pt>
                <c:pt idx="28">
                  <c:v>36.61</c:v>
                </c:pt>
                <c:pt idx="29">
                  <c:v>58.08</c:v>
                </c:pt>
                <c:pt idx="30">
                  <c:v>43.42</c:v>
                </c:pt>
                <c:pt idx="31">
                  <c:v>35.020000000000003</c:v>
                </c:pt>
                <c:pt idx="32">
                  <c:v>65.849999999999994</c:v>
                </c:pt>
                <c:pt idx="33">
                  <c:v>35.83</c:v>
                </c:pt>
                <c:pt idx="34">
                  <c:v>36.97</c:v>
                </c:pt>
                <c:pt idx="35">
                  <c:v>44.24</c:v>
                </c:pt>
                <c:pt idx="36">
                  <c:v>41.44</c:v>
                </c:pt>
                <c:pt idx="37">
                  <c:v>59.05</c:v>
                </c:pt>
                <c:pt idx="38">
                  <c:v>62.8</c:v>
                </c:pt>
                <c:pt idx="39">
                  <c:v>34.83</c:v>
                </c:pt>
                <c:pt idx="40">
                  <c:v>46.62</c:v>
                </c:pt>
                <c:pt idx="41">
                  <c:v>40.28</c:v>
                </c:pt>
                <c:pt idx="42">
                  <c:v>28.26</c:v>
                </c:pt>
                <c:pt idx="43">
                  <c:v>46.17</c:v>
                </c:pt>
                <c:pt idx="44">
                  <c:v>65.42</c:v>
                </c:pt>
                <c:pt idx="45">
                  <c:v>61.53</c:v>
                </c:pt>
                <c:pt idx="46">
                  <c:v>71.84</c:v>
                </c:pt>
                <c:pt idx="47">
                  <c:v>59.31</c:v>
                </c:pt>
                <c:pt idx="48">
                  <c:v>53.07</c:v>
                </c:pt>
                <c:pt idx="49">
                  <c:v>46.11</c:v>
                </c:pt>
                <c:pt idx="50">
                  <c:v>55.47</c:v>
                </c:pt>
                <c:pt idx="51">
                  <c:v>37.86</c:v>
                </c:pt>
                <c:pt idx="52">
                  <c:v>55.47</c:v>
                </c:pt>
                <c:pt idx="53">
                  <c:v>68.89</c:v>
                </c:pt>
                <c:pt idx="54">
                  <c:v>71.64</c:v>
                </c:pt>
                <c:pt idx="55">
                  <c:v>62.39</c:v>
                </c:pt>
                <c:pt idx="56">
                  <c:v>32.1</c:v>
                </c:pt>
                <c:pt idx="57">
                  <c:v>33.4</c:v>
                </c:pt>
                <c:pt idx="58">
                  <c:v>58.45</c:v>
                </c:pt>
                <c:pt idx="59">
                  <c:v>43.89</c:v>
                </c:pt>
                <c:pt idx="60">
                  <c:v>38.14</c:v>
                </c:pt>
                <c:pt idx="61">
                  <c:v>40.82</c:v>
                </c:pt>
                <c:pt idx="62">
                  <c:v>35.229999999999997</c:v>
                </c:pt>
                <c:pt idx="63">
                  <c:v>41.6</c:v>
                </c:pt>
                <c:pt idx="64">
                  <c:v>27.86</c:v>
                </c:pt>
                <c:pt idx="65">
                  <c:v>63.83</c:v>
                </c:pt>
                <c:pt idx="66">
                  <c:v>60.21</c:v>
                </c:pt>
                <c:pt idx="67">
                  <c:v>47.67</c:v>
                </c:pt>
                <c:pt idx="68">
                  <c:v>74.099999999999994</c:v>
                </c:pt>
                <c:pt idx="69">
                  <c:v>74.099999999999994</c:v>
                </c:pt>
                <c:pt idx="70">
                  <c:v>35.47</c:v>
                </c:pt>
                <c:pt idx="71">
                  <c:v>43.34</c:v>
                </c:pt>
                <c:pt idx="72">
                  <c:v>39.31</c:v>
                </c:pt>
                <c:pt idx="73">
                  <c:v>40.47</c:v>
                </c:pt>
                <c:pt idx="74">
                  <c:v>37.869999999999997</c:v>
                </c:pt>
                <c:pt idx="75">
                  <c:v>45.06</c:v>
                </c:pt>
                <c:pt idx="76">
                  <c:v>48.96</c:v>
                </c:pt>
                <c:pt idx="77">
                  <c:v>45.94</c:v>
                </c:pt>
                <c:pt idx="78">
                  <c:v>64.930000000000007</c:v>
                </c:pt>
                <c:pt idx="79">
                  <c:v>64.930000000000007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FB-4BF0-BD68-E10110FEB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9517167"/>
        <c:axId val="1089521279"/>
      </c:scatterChart>
      <c:valAx>
        <c:axId val="108951716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Кпр, мД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9521279"/>
        <c:crosses val="autoZero"/>
        <c:crossBetween val="midCat"/>
      </c:valAx>
      <c:valAx>
        <c:axId val="1089521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Кво,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9517167"/>
        <c:crossesAt val="0.1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'Для аппроксимации'!$E$5:$E$84</c:f>
              <c:numCache>
                <c:formatCode>0.0</c:formatCode>
                <c:ptCount val="80"/>
                <c:pt idx="0" formatCode="0">
                  <c:v>38.140999999999998</c:v>
                </c:pt>
                <c:pt idx="1">
                  <c:v>16.763000000000002</c:v>
                </c:pt>
                <c:pt idx="2">
                  <c:v>12.314</c:v>
                </c:pt>
                <c:pt idx="3" formatCode="0">
                  <c:v>50.798999999999999</c:v>
                </c:pt>
                <c:pt idx="4" formatCode="0">
                  <c:v>38.279000000000003</c:v>
                </c:pt>
                <c:pt idx="5" formatCode="0">
                  <c:v>165.04599999999999</c:v>
                </c:pt>
                <c:pt idx="6">
                  <c:v>19.3626</c:v>
                </c:pt>
                <c:pt idx="7" formatCode="0">
                  <c:v>41.848999999999997</c:v>
                </c:pt>
                <c:pt idx="8" formatCode="0">
                  <c:v>39.237000000000002</c:v>
                </c:pt>
                <c:pt idx="9" formatCode="0">
                  <c:v>68.259399999999999</c:v>
                </c:pt>
                <c:pt idx="10">
                  <c:v>6.1269999999999998</c:v>
                </c:pt>
                <c:pt idx="11">
                  <c:v>8.2235999999999994</c:v>
                </c:pt>
                <c:pt idx="12">
                  <c:v>9.8209999999999997</c:v>
                </c:pt>
                <c:pt idx="13">
                  <c:v>5.2279999999999998</c:v>
                </c:pt>
                <c:pt idx="14">
                  <c:v>11.9</c:v>
                </c:pt>
                <c:pt idx="15">
                  <c:v>9.3070000000000004</c:v>
                </c:pt>
                <c:pt idx="16" formatCode="0">
                  <c:v>193.91</c:v>
                </c:pt>
                <c:pt idx="17" formatCode="0">
                  <c:v>73.666700000000006</c:v>
                </c:pt>
                <c:pt idx="18" formatCode="0">
                  <c:v>872.59400000000005</c:v>
                </c:pt>
                <c:pt idx="19">
                  <c:v>6.4406999999999996</c:v>
                </c:pt>
                <c:pt idx="20" formatCode="0">
                  <c:v>46.975999999999999</c:v>
                </c:pt>
                <c:pt idx="21" formatCode="0">
                  <c:v>103.875</c:v>
                </c:pt>
                <c:pt idx="22" formatCode="0">
                  <c:v>213.971</c:v>
                </c:pt>
                <c:pt idx="23" formatCode="0">
                  <c:v>63.169199999999996</c:v>
                </c:pt>
                <c:pt idx="24">
                  <c:v>8.7720000000000002</c:v>
                </c:pt>
                <c:pt idx="25" formatCode="0">
                  <c:v>276.43689999999998</c:v>
                </c:pt>
                <c:pt idx="26" formatCode="0">
                  <c:v>29.881900000000002</c:v>
                </c:pt>
                <c:pt idx="27" formatCode="0">
                  <c:v>375.00799999999998</c:v>
                </c:pt>
                <c:pt idx="28" formatCode="0">
                  <c:v>306.14699999999999</c:v>
                </c:pt>
                <c:pt idx="29" formatCode="0">
                  <c:v>40.808</c:v>
                </c:pt>
                <c:pt idx="30" formatCode="0">
                  <c:v>169.387</c:v>
                </c:pt>
                <c:pt idx="31" formatCode="0">
                  <c:v>333.49700000000001</c:v>
                </c:pt>
                <c:pt idx="32">
                  <c:v>20.532</c:v>
                </c:pt>
                <c:pt idx="33" formatCode="0">
                  <c:v>202.16499999999999</c:v>
                </c:pt>
                <c:pt idx="34" formatCode="0">
                  <c:v>252.63300000000001</c:v>
                </c:pt>
                <c:pt idx="35" formatCode="0">
                  <c:v>108.1237</c:v>
                </c:pt>
                <c:pt idx="36" formatCode="0">
                  <c:v>76.37</c:v>
                </c:pt>
                <c:pt idx="37" formatCode="0">
                  <c:v>51.557600000000001</c:v>
                </c:pt>
                <c:pt idx="38" formatCode="0">
                  <c:v>28.366499999999998</c:v>
                </c:pt>
                <c:pt idx="39" formatCode="0">
                  <c:v>366.0052</c:v>
                </c:pt>
                <c:pt idx="40" formatCode="0">
                  <c:v>153.71109999999999</c:v>
                </c:pt>
                <c:pt idx="41" formatCode="0">
                  <c:v>257.803</c:v>
                </c:pt>
                <c:pt idx="42" formatCode="0">
                  <c:v>720.02599999999995</c:v>
                </c:pt>
                <c:pt idx="43" formatCode="0">
                  <c:v>129.12700000000001</c:v>
                </c:pt>
                <c:pt idx="44">
                  <c:v>20.324999999999999</c:v>
                </c:pt>
                <c:pt idx="45">
                  <c:v>14.2</c:v>
                </c:pt>
                <c:pt idx="46">
                  <c:v>6.0469999999999997</c:v>
                </c:pt>
                <c:pt idx="47" formatCode="0">
                  <c:v>51.198999999999998</c:v>
                </c:pt>
                <c:pt idx="48" formatCode="0">
                  <c:v>41.248699999999999</c:v>
                </c:pt>
                <c:pt idx="49" formatCode="0">
                  <c:v>56.128</c:v>
                </c:pt>
                <c:pt idx="50" formatCode="0">
                  <c:v>27.78</c:v>
                </c:pt>
                <c:pt idx="51" formatCode="0">
                  <c:v>261.74700000000001</c:v>
                </c:pt>
                <c:pt idx="52">
                  <c:v>19.635000000000002</c:v>
                </c:pt>
                <c:pt idx="53">
                  <c:v>5.5419999999999998</c:v>
                </c:pt>
                <c:pt idx="54">
                  <c:v>7.1840000000000002</c:v>
                </c:pt>
                <c:pt idx="55">
                  <c:v>15.9594</c:v>
                </c:pt>
                <c:pt idx="56" formatCode="0">
                  <c:v>153.31780000000001</c:v>
                </c:pt>
                <c:pt idx="57" formatCode="0">
                  <c:v>187.559</c:v>
                </c:pt>
                <c:pt idx="58" formatCode="0">
                  <c:v>45.847900000000003</c:v>
                </c:pt>
                <c:pt idx="59" formatCode="0">
                  <c:v>76.739599999999996</c:v>
                </c:pt>
                <c:pt idx="60" formatCode="0">
                  <c:v>142.19470000000001</c:v>
                </c:pt>
                <c:pt idx="61" formatCode="0">
                  <c:v>99.798000000000002</c:v>
                </c:pt>
                <c:pt idx="62" formatCode="0">
                  <c:v>169.6362</c:v>
                </c:pt>
                <c:pt idx="63" formatCode="0">
                  <c:v>125.72799999999999</c:v>
                </c:pt>
                <c:pt idx="64" formatCode="0">
                  <c:v>454.41309999999999</c:v>
                </c:pt>
                <c:pt idx="65">
                  <c:v>10.573</c:v>
                </c:pt>
                <c:pt idx="66" formatCode="0">
                  <c:v>39.378999999999998</c:v>
                </c:pt>
                <c:pt idx="67" formatCode="0">
                  <c:v>66.616600000000005</c:v>
                </c:pt>
                <c:pt idx="68">
                  <c:v>3.3816999999999999</c:v>
                </c:pt>
                <c:pt idx="69">
                  <c:v>3.3816999999999999</c:v>
                </c:pt>
                <c:pt idx="70" formatCode="0">
                  <c:v>89.645099999999999</c:v>
                </c:pt>
                <c:pt idx="71" formatCode="0">
                  <c:v>88.275999999999996</c:v>
                </c:pt>
                <c:pt idx="72" formatCode="0">
                  <c:v>154.18119999999999</c:v>
                </c:pt>
                <c:pt idx="73" formatCode="0">
                  <c:v>148.3305</c:v>
                </c:pt>
                <c:pt idx="74" formatCode="0">
                  <c:v>148.87970000000001</c:v>
                </c:pt>
                <c:pt idx="75" formatCode="0">
                  <c:v>97.968000000000004</c:v>
                </c:pt>
                <c:pt idx="76" formatCode="0">
                  <c:v>60.822400000000002</c:v>
                </c:pt>
                <c:pt idx="77" formatCode="0">
                  <c:v>77.78</c:v>
                </c:pt>
                <c:pt idx="78">
                  <c:v>19.978000000000002</c:v>
                </c:pt>
                <c:pt idx="79">
                  <c:v>19.978000000000002</c:v>
                </c:pt>
              </c:numCache>
            </c:numRef>
          </c:xVal>
          <c:yVal>
            <c:numRef>
              <c:f>'Для аппроксимации'!$AA$5:$AA$84</c:f>
              <c:numCache>
                <c:formatCode>General</c:formatCode>
                <c:ptCount val="80"/>
                <c:pt idx="0">
                  <c:v>0.73341324254966167</c:v>
                </c:pt>
                <c:pt idx="1">
                  <c:v>0.77482855405597451</c:v>
                </c:pt>
                <c:pt idx="2">
                  <c:v>0.72621724100933371</c:v>
                </c:pt>
                <c:pt idx="3">
                  <c:v>0.70848903809029218</c:v>
                </c:pt>
                <c:pt idx="4">
                  <c:v>0.73632211517155077</c:v>
                </c:pt>
                <c:pt idx="5">
                  <c:v>0.64141787208855949</c:v>
                </c:pt>
                <c:pt idx="6">
                  <c:v>0.73562037522273349</c:v>
                </c:pt>
                <c:pt idx="7">
                  <c:v>0.70623091416902983</c:v>
                </c:pt>
                <c:pt idx="8">
                  <c:v>0.7821822031812381</c:v>
                </c:pt>
                <c:pt idx="9">
                  <c:v>0.64654342389819774</c:v>
                </c:pt>
                <c:pt idx="10">
                  <c:v>0.72896073354120738</c:v>
                </c:pt>
                <c:pt idx="11">
                  <c:v>0.77510683372057643</c:v>
                </c:pt>
                <c:pt idx="12">
                  <c:v>0.64760942697521595</c:v>
                </c:pt>
                <c:pt idx="13">
                  <c:v>0.67436738656801465</c:v>
                </c:pt>
                <c:pt idx="14">
                  <c:v>0.75313727169704481</c:v>
                </c:pt>
                <c:pt idx="15">
                  <c:v>0.7639745128357941</c:v>
                </c:pt>
                <c:pt idx="16">
                  <c:v>0.71563689257722207</c:v>
                </c:pt>
                <c:pt idx="17">
                  <c:v>0.70136624642854761</c:v>
                </c:pt>
                <c:pt idx="18">
                  <c:v>0.75986867840971661</c:v>
                </c:pt>
                <c:pt idx="19">
                  <c:v>0.77424223769269818</c:v>
                </c:pt>
                <c:pt idx="20">
                  <c:v>0.64767888903508153</c:v>
                </c:pt>
                <c:pt idx="21">
                  <c:v>0.59812474214099043</c:v>
                </c:pt>
                <c:pt idx="22">
                  <c:v>0.76394837772060464</c:v>
                </c:pt>
                <c:pt idx="23">
                  <c:v>0.64019625963239268</c:v>
                </c:pt>
                <c:pt idx="24">
                  <c:v>0.66374932624006266</c:v>
                </c:pt>
                <c:pt idx="25">
                  <c:v>0.75744388821007336</c:v>
                </c:pt>
                <c:pt idx="26">
                  <c:v>0.66671286859309831</c:v>
                </c:pt>
                <c:pt idx="27">
                  <c:v>0.82702744534443196</c:v>
                </c:pt>
                <c:pt idx="28">
                  <c:v>0.78446938196920946</c:v>
                </c:pt>
                <c:pt idx="29">
                  <c:v>0.62158409352827737</c:v>
                </c:pt>
                <c:pt idx="30">
                  <c:v>0.68544136324532956</c:v>
                </c:pt>
                <c:pt idx="31">
                  <c:v>0.83470382926806563</c:v>
                </c:pt>
                <c:pt idx="32">
                  <c:v>0.81579969241969941</c:v>
                </c:pt>
                <c:pt idx="33">
                  <c:v>0.74612558381071237</c:v>
                </c:pt>
                <c:pt idx="34">
                  <c:v>0.79097598395260216</c:v>
                </c:pt>
                <c:pt idx="35">
                  <c:v>0.70907902726292038</c:v>
                </c:pt>
                <c:pt idx="36">
                  <c:v>0.68498566368093694</c:v>
                </c:pt>
                <c:pt idx="37">
                  <c:v>0.61289769281262685</c:v>
                </c:pt>
                <c:pt idx="38">
                  <c:v>0.6919971803742383</c:v>
                </c:pt>
                <c:pt idx="39">
                  <c:v>0.76262120880443085</c:v>
                </c:pt>
                <c:pt idx="40">
                  <c:v>0.70875668155462901</c:v>
                </c:pt>
                <c:pt idx="41">
                  <c:v>0.7703223039956868</c:v>
                </c:pt>
                <c:pt idx="42">
                  <c:v>0.79729730630983997</c:v>
                </c:pt>
                <c:pt idx="43">
                  <c:v>0.66504115325022095</c:v>
                </c:pt>
                <c:pt idx="44">
                  <c:v>0.65783691473433059</c:v>
                </c:pt>
                <c:pt idx="45">
                  <c:v>0.72288139704939081</c:v>
                </c:pt>
                <c:pt idx="46">
                  <c:v>0.69275863358505285</c:v>
                </c:pt>
                <c:pt idx="47">
                  <c:v>0.64820032034491515</c:v>
                </c:pt>
                <c:pt idx="48">
                  <c:v>0.6622047558118126</c:v>
                </c:pt>
                <c:pt idx="49">
                  <c:v>0.61296846255796156</c:v>
                </c:pt>
                <c:pt idx="50">
                  <c:v>0.72698745855738012</c:v>
                </c:pt>
                <c:pt idx="51">
                  <c:v>0.72471558339354647</c:v>
                </c:pt>
                <c:pt idx="52">
                  <c:v>0.72451919450020807</c:v>
                </c:pt>
                <c:pt idx="53">
                  <c:v>0.75279689533098648</c:v>
                </c:pt>
                <c:pt idx="54">
                  <c:v>0.86636497545892521</c:v>
                </c:pt>
                <c:pt idx="55">
                  <c:v>0.70182088045022561</c:v>
                </c:pt>
                <c:pt idx="56">
                  <c:v>0.69867360253517019</c:v>
                </c:pt>
                <c:pt idx="57">
                  <c:v>0.67416752683084447</c:v>
                </c:pt>
                <c:pt idx="58">
                  <c:v>0.6742296669139628</c:v>
                </c:pt>
                <c:pt idx="59">
                  <c:v>0.65525180957952911</c:v>
                </c:pt>
                <c:pt idx="60">
                  <c:v>0.64548022763252655</c:v>
                </c:pt>
                <c:pt idx="61">
                  <c:v>0.64897445691647848</c:v>
                </c:pt>
                <c:pt idx="62">
                  <c:v>0.73022824453043289</c:v>
                </c:pt>
                <c:pt idx="63">
                  <c:v>0.66355957981309666</c:v>
                </c:pt>
                <c:pt idx="64">
                  <c:v>0.82860619398237068</c:v>
                </c:pt>
                <c:pt idx="65">
                  <c:v>0.71712972873576553</c:v>
                </c:pt>
                <c:pt idx="66">
                  <c:v>0.66545904796222122</c:v>
                </c:pt>
                <c:pt idx="67">
                  <c:v>0.6772481177472861</c:v>
                </c:pt>
                <c:pt idx="68">
                  <c:v>0.77476961231792918</c:v>
                </c:pt>
                <c:pt idx="69">
                  <c:v>0.77476961231792918</c:v>
                </c:pt>
                <c:pt idx="70">
                  <c:v>0.76842605485539406</c:v>
                </c:pt>
                <c:pt idx="71">
                  <c:v>0.63796722752544377</c:v>
                </c:pt>
                <c:pt idx="72">
                  <c:v>0.67852367635563349</c:v>
                </c:pt>
                <c:pt idx="73">
                  <c:v>0.66816349081037341</c:v>
                </c:pt>
                <c:pt idx="74">
                  <c:v>0.660874898646993</c:v>
                </c:pt>
                <c:pt idx="75">
                  <c:v>0.6644808317895925</c:v>
                </c:pt>
                <c:pt idx="76">
                  <c:v>0.6452604895470192</c:v>
                </c:pt>
                <c:pt idx="77">
                  <c:v>0.60546349797363552</c:v>
                </c:pt>
                <c:pt idx="78">
                  <c:v>0.70160324464552148</c:v>
                </c:pt>
                <c:pt idx="79">
                  <c:v>0.70160324464552148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8A-439F-91F6-9A034453F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8420415"/>
        <c:axId val="1208423775"/>
      </c:scatterChart>
      <c:valAx>
        <c:axId val="1208420415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Кпр, мД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8423775"/>
        <c:crosses val="autoZero"/>
        <c:crossBetween val="midCat"/>
      </c:valAx>
      <c:valAx>
        <c:axId val="1208423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8420415"/>
        <c:crossesAt val="0.1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'Для аппроксимации'!$E$5:$E$84</c:f>
              <c:numCache>
                <c:formatCode>0.0</c:formatCode>
                <c:ptCount val="80"/>
                <c:pt idx="0" formatCode="0">
                  <c:v>38.140999999999998</c:v>
                </c:pt>
                <c:pt idx="1">
                  <c:v>16.763000000000002</c:v>
                </c:pt>
                <c:pt idx="2">
                  <c:v>12.314</c:v>
                </c:pt>
                <c:pt idx="3" formatCode="0">
                  <c:v>50.798999999999999</c:v>
                </c:pt>
                <c:pt idx="4" formatCode="0">
                  <c:v>38.279000000000003</c:v>
                </c:pt>
                <c:pt idx="5" formatCode="0">
                  <c:v>165.04599999999999</c:v>
                </c:pt>
                <c:pt idx="6">
                  <c:v>19.3626</c:v>
                </c:pt>
                <c:pt idx="7" formatCode="0">
                  <c:v>41.848999999999997</c:v>
                </c:pt>
                <c:pt idx="8" formatCode="0">
                  <c:v>39.237000000000002</c:v>
                </c:pt>
                <c:pt idx="9" formatCode="0">
                  <c:v>68.259399999999999</c:v>
                </c:pt>
                <c:pt idx="10">
                  <c:v>6.1269999999999998</c:v>
                </c:pt>
                <c:pt idx="11">
                  <c:v>8.2235999999999994</c:v>
                </c:pt>
                <c:pt idx="12">
                  <c:v>9.8209999999999997</c:v>
                </c:pt>
                <c:pt idx="13">
                  <c:v>5.2279999999999998</c:v>
                </c:pt>
                <c:pt idx="14">
                  <c:v>11.9</c:v>
                </c:pt>
                <c:pt idx="15">
                  <c:v>9.3070000000000004</c:v>
                </c:pt>
                <c:pt idx="16" formatCode="0">
                  <c:v>193.91</c:v>
                </c:pt>
                <c:pt idx="17" formatCode="0">
                  <c:v>73.666700000000006</c:v>
                </c:pt>
                <c:pt idx="18" formatCode="0">
                  <c:v>872.59400000000005</c:v>
                </c:pt>
                <c:pt idx="19">
                  <c:v>6.4406999999999996</c:v>
                </c:pt>
                <c:pt idx="20" formatCode="0">
                  <c:v>46.975999999999999</c:v>
                </c:pt>
                <c:pt idx="21" formatCode="0">
                  <c:v>103.875</c:v>
                </c:pt>
                <c:pt idx="22" formatCode="0">
                  <c:v>213.971</c:v>
                </c:pt>
                <c:pt idx="23" formatCode="0">
                  <c:v>63.169199999999996</c:v>
                </c:pt>
                <c:pt idx="24">
                  <c:v>8.7720000000000002</c:v>
                </c:pt>
                <c:pt idx="25" formatCode="0">
                  <c:v>276.43689999999998</c:v>
                </c:pt>
                <c:pt idx="26" formatCode="0">
                  <c:v>29.881900000000002</c:v>
                </c:pt>
                <c:pt idx="27" formatCode="0">
                  <c:v>375.00799999999998</c:v>
                </c:pt>
                <c:pt idx="28" formatCode="0">
                  <c:v>306.14699999999999</c:v>
                </c:pt>
                <c:pt idx="29" formatCode="0">
                  <c:v>40.808</c:v>
                </c:pt>
                <c:pt idx="30" formatCode="0">
                  <c:v>169.387</c:v>
                </c:pt>
                <c:pt idx="31" formatCode="0">
                  <c:v>333.49700000000001</c:v>
                </c:pt>
                <c:pt idx="32">
                  <c:v>20.532</c:v>
                </c:pt>
                <c:pt idx="33" formatCode="0">
                  <c:v>202.16499999999999</c:v>
                </c:pt>
                <c:pt idx="34" formatCode="0">
                  <c:v>252.63300000000001</c:v>
                </c:pt>
                <c:pt idx="35" formatCode="0">
                  <c:v>108.1237</c:v>
                </c:pt>
                <c:pt idx="36" formatCode="0">
                  <c:v>76.37</c:v>
                </c:pt>
                <c:pt idx="37" formatCode="0">
                  <c:v>51.557600000000001</c:v>
                </c:pt>
                <c:pt idx="38" formatCode="0">
                  <c:v>28.366499999999998</c:v>
                </c:pt>
                <c:pt idx="39" formatCode="0">
                  <c:v>366.0052</c:v>
                </c:pt>
                <c:pt idx="40" formatCode="0">
                  <c:v>153.71109999999999</c:v>
                </c:pt>
                <c:pt idx="41" formatCode="0">
                  <c:v>257.803</c:v>
                </c:pt>
                <c:pt idx="42" formatCode="0">
                  <c:v>720.02599999999995</c:v>
                </c:pt>
                <c:pt idx="43" formatCode="0">
                  <c:v>129.12700000000001</c:v>
                </c:pt>
                <c:pt idx="44">
                  <c:v>20.324999999999999</c:v>
                </c:pt>
                <c:pt idx="45">
                  <c:v>14.2</c:v>
                </c:pt>
                <c:pt idx="46">
                  <c:v>6.0469999999999997</c:v>
                </c:pt>
                <c:pt idx="47" formatCode="0">
                  <c:v>51.198999999999998</c:v>
                </c:pt>
                <c:pt idx="48" formatCode="0">
                  <c:v>41.248699999999999</c:v>
                </c:pt>
                <c:pt idx="49" formatCode="0">
                  <c:v>56.128</c:v>
                </c:pt>
                <c:pt idx="50" formatCode="0">
                  <c:v>27.78</c:v>
                </c:pt>
                <c:pt idx="51" formatCode="0">
                  <c:v>261.74700000000001</c:v>
                </c:pt>
                <c:pt idx="52">
                  <c:v>19.635000000000002</c:v>
                </c:pt>
                <c:pt idx="53">
                  <c:v>5.5419999999999998</c:v>
                </c:pt>
                <c:pt idx="54">
                  <c:v>7.1840000000000002</c:v>
                </c:pt>
                <c:pt idx="55">
                  <c:v>15.9594</c:v>
                </c:pt>
                <c:pt idx="56" formatCode="0">
                  <c:v>153.31780000000001</c:v>
                </c:pt>
                <c:pt idx="57" formatCode="0">
                  <c:v>187.559</c:v>
                </c:pt>
                <c:pt idx="58" formatCode="0">
                  <c:v>45.847900000000003</c:v>
                </c:pt>
                <c:pt idx="59" formatCode="0">
                  <c:v>76.739599999999996</c:v>
                </c:pt>
                <c:pt idx="60" formatCode="0">
                  <c:v>142.19470000000001</c:v>
                </c:pt>
                <c:pt idx="61" formatCode="0">
                  <c:v>99.798000000000002</c:v>
                </c:pt>
                <c:pt idx="62" formatCode="0">
                  <c:v>169.6362</c:v>
                </c:pt>
                <c:pt idx="63" formatCode="0">
                  <c:v>125.72799999999999</c:v>
                </c:pt>
                <c:pt idx="64" formatCode="0">
                  <c:v>454.41309999999999</c:v>
                </c:pt>
                <c:pt idx="65">
                  <c:v>10.573</c:v>
                </c:pt>
                <c:pt idx="66" formatCode="0">
                  <c:v>39.378999999999998</c:v>
                </c:pt>
                <c:pt idx="67" formatCode="0">
                  <c:v>66.616600000000005</c:v>
                </c:pt>
                <c:pt idx="68">
                  <c:v>3.3816999999999999</c:v>
                </c:pt>
                <c:pt idx="69">
                  <c:v>3.3816999999999999</c:v>
                </c:pt>
                <c:pt idx="70" formatCode="0">
                  <c:v>89.645099999999999</c:v>
                </c:pt>
                <c:pt idx="71" formatCode="0">
                  <c:v>88.275999999999996</c:v>
                </c:pt>
                <c:pt idx="72" formatCode="0">
                  <c:v>154.18119999999999</c:v>
                </c:pt>
                <c:pt idx="73" formatCode="0">
                  <c:v>148.3305</c:v>
                </c:pt>
                <c:pt idx="74" formatCode="0">
                  <c:v>148.87970000000001</c:v>
                </c:pt>
                <c:pt idx="75" formatCode="0">
                  <c:v>97.968000000000004</c:v>
                </c:pt>
                <c:pt idx="76" formatCode="0">
                  <c:v>60.822400000000002</c:v>
                </c:pt>
                <c:pt idx="77" formatCode="0">
                  <c:v>77.78</c:v>
                </c:pt>
                <c:pt idx="78">
                  <c:v>19.978000000000002</c:v>
                </c:pt>
                <c:pt idx="79">
                  <c:v>19.978000000000002</c:v>
                </c:pt>
              </c:numCache>
            </c:numRef>
          </c:xVal>
          <c:yVal>
            <c:numRef>
              <c:f>'Для аппроксимации'!$AB$5:$AB$84</c:f>
              <c:numCache>
                <c:formatCode>General</c:formatCode>
                <c:ptCount val="80"/>
                <c:pt idx="0">
                  <c:v>0.13742970504654586</c:v>
                </c:pt>
                <c:pt idx="1">
                  <c:v>0.16510537922346305</c:v>
                </c:pt>
                <c:pt idx="2">
                  <c:v>0.18019390449058487</c:v>
                </c:pt>
                <c:pt idx="3">
                  <c:v>0.10482560290372236</c:v>
                </c:pt>
                <c:pt idx="4">
                  <c:v>0.12771505293812177</c:v>
                </c:pt>
                <c:pt idx="5">
                  <c:v>0.11845378955513372</c:v>
                </c:pt>
                <c:pt idx="6">
                  <c:v>0.1780904101228718</c:v>
                </c:pt>
                <c:pt idx="7">
                  <c:v>0.1274741946281841</c:v>
                </c:pt>
                <c:pt idx="8">
                  <c:v>0.12506035220813894</c:v>
                </c:pt>
                <c:pt idx="9">
                  <c:v>0.12082921771688188</c:v>
                </c:pt>
                <c:pt idx="10">
                  <c:v>0.18064443487013146</c:v>
                </c:pt>
                <c:pt idx="11">
                  <c:v>0.19209718677282225</c:v>
                </c:pt>
                <c:pt idx="12">
                  <c:v>0.1897064747586597</c:v>
                </c:pt>
                <c:pt idx="13">
                  <c:v>0.22081243094257197</c:v>
                </c:pt>
                <c:pt idx="14">
                  <c:v>0.13146714706744828</c:v>
                </c:pt>
                <c:pt idx="15">
                  <c:v>0.21211771619345091</c:v>
                </c:pt>
                <c:pt idx="16">
                  <c:v>7.9587503058112866E-2</c:v>
                </c:pt>
                <c:pt idx="17">
                  <c:v>0.12640532280064917</c:v>
                </c:pt>
                <c:pt idx="18">
                  <c:v>3.8816378583624515E-2</c:v>
                </c:pt>
                <c:pt idx="19">
                  <c:v>0.26897485789800463</c:v>
                </c:pt>
                <c:pt idx="20">
                  <c:v>0.14518388388736839</c:v>
                </c:pt>
                <c:pt idx="21">
                  <c:v>0.12093924713010348</c:v>
                </c:pt>
                <c:pt idx="22">
                  <c:v>8.519238477534409E-2</c:v>
                </c:pt>
                <c:pt idx="23">
                  <c:v>0.12457539552971189</c:v>
                </c:pt>
                <c:pt idx="24">
                  <c:v>0.19076728454268921</c:v>
                </c:pt>
                <c:pt idx="25">
                  <c:v>7.9840367787020097E-2</c:v>
                </c:pt>
                <c:pt idx="26">
                  <c:v>0.16980128381831763</c:v>
                </c:pt>
                <c:pt idx="27">
                  <c:v>5.9379408209990624E-2</c:v>
                </c:pt>
                <c:pt idx="28">
                  <c:v>7.9741493129575139E-2</c:v>
                </c:pt>
                <c:pt idx="29">
                  <c:v>0.16113343068515623</c:v>
                </c:pt>
                <c:pt idx="30">
                  <c:v>0.12591994268215498</c:v>
                </c:pt>
                <c:pt idx="31">
                  <c:v>5.6068663727314477E-2</c:v>
                </c:pt>
                <c:pt idx="32">
                  <c:v>0.17502242658771186</c:v>
                </c:pt>
                <c:pt idx="33">
                  <c:v>8.7646259144976674E-2</c:v>
                </c:pt>
                <c:pt idx="34">
                  <c:v>7.9533779549180061E-2</c:v>
                </c:pt>
                <c:pt idx="35">
                  <c:v>0.12841626728987943</c:v>
                </c:pt>
                <c:pt idx="36">
                  <c:v>0.13010028201692811</c:v>
                </c:pt>
                <c:pt idx="37">
                  <c:v>0.1684405489659391</c:v>
                </c:pt>
                <c:pt idx="38">
                  <c:v>0.15178009151144137</c:v>
                </c:pt>
                <c:pt idx="39">
                  <c:v>5.1906851585715924E-2</c:v>
                </c:pt>
                <c:pt idx="40">
                  <c:v>6.8409754841590523E-2</c:v>
                </c:pt>
                <c:pt idx="41">
                  <c:v>6.8301282828135551E-2</c:v>
                </c:pt>
                <c:pt idx="42">
                  <c:v>3.7052570693969007E-2</c:v>
                </c:pt>
                <c:pt idx="43">
                  <c:v>0.10773003674834368</c:v>
                </c:pt>
                <c:pt idx="44">
                  <c:v>0.14672120623036297</c:v>
                </c:pt>
                <c:pt idx="45">
                  <c:v>0.15492579813859828</c:v>
                </c:pt>
                <c:pt idx="46">
                  <c:v>0.22022211042183029</c:v>
                </c:pt>
                <c:pt idx="47">
                  <c:v>0.12332430036325284</c:v>
                </c:pt>
                <c:pt idx="48">
                  <c:v>0.10628747471177724</c:v>
                </c:pt>
                <c:pt idx="49">
                  <c:v>0.11675842268615114</c:v>
                </c:pt>
                <c:pt idx="50">
                  <c:v>0.14241565257847194</c:v>
                </c:pt>
                <c:pt idx="51">
                  <c:v>5.7282114263043665E-2</c:v>
                </c:pt>
                <c:pt idx="52">
                  <c:v>0.19794874600853435</c:v>
                </c:pt>
                <c:pt idx="53">
                  <c:v>0.29911638323434103</c:v>
                </c:pt>
                <c:pt idx="54">
                  <c:v>0.25698258588218026</c:v>
                </c:pt>
                <c:pt idx="55">
                  <c:v>0.16335519446730229</c:v>
                </c:pt>
                <c:pt idx="56">
                  <c:v>9.4404359500288956E-2</c:v>
                </c:pt>
                <c:pt idx="57">
                  <c:v>8.6308597857315539E-2</c:v>
                </c:pt>
                <c:pt idx="58">
                  <c:v>0.13602898532410851</c:v>
                </c:pt>
                <c:pt idx="59">
                  <c:v>0.11662367178490743</c:v>
                </c:pt>
                <c:pt idx="60">
                  <c:v>0.12976393592357552</c:v>
                </c:pt>
                <c:pt idx="61">
                  <c:v>0.12660407207724708</c:v>
                </c:pt>
                <c:pt idx="62">
                  <c:v>8.2276542353529977E-2</c:v>
                </c:pt>
                <c:pt idx="63">
                  <c:v>9.8177035026838513E-2</c:v>
                </c:pt>
                <c:pt idx="64">
                  <c:v>4.4693328493752016E-2</c:v>
                </c:pt>
                <c:pt idx="65">
                  <c:v>0.19625306153917607</c:v>
                </c:pt>
                <c:pt idx="66">
                  <c:v>0.16118016901888257</c:v>
                </c:pt>
                <c:pt idx="67">
                  <c:v>0.11136501239954098</c:v>
                </c:pt>
                <c:pt idx="68">
                  <c:v>0.29860475131976355</c:v>
                </c:pt>
                <c:pt idx="69">
                  <c:v>0.29860475131976355</c:v>
                </c:pt>
                <c:pt idx="70">
                  <c:v>0.10880847426261417</c:v>
                </c:pt>
                <c:pt idx="71">
                  <c:v>0.1217115365495421</c:v>
                </c:pt>
                <c:pt idx="72">
                  <c:v>8.9161996978000063E-2</c:v>
                </c:pt>
                <c:pt idx="73">
                  <c:v>9.0392418227921892E-2</c:v>
                </c:pt>
                <c:pt idx="74">
                  <c:v>8.5067013340717104E-2</c:v>
                </c:pt>
                <c:pt idx="75">
                  <c:v>9.9238046455909737E-2</c:v>
                </c:pt>
                <c:pt idx="76">
                  <c:v>0.11514945006625769</c:v>
                </c:pt>
                <c:pt idx="77">
                  <c:v>0.11967721071497385</c:v>
                </c:pt>
                <c:pt idx="78">
                  <c:v>0.16543413080573779</c:v>
                </c:pt>
                <c:pt idx="79">
                  <c:v>0.16543413080573779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A0-4D2B-8538-6B0DCD611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8420415"/>
        <c:axId val="1208423775"/>
      </c:scatterChart>
      <c:valAx>
        <c:axId val="1208420415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Кпр, мД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8423775"/>
        <c:crosses val="autoZero"/>
        <c:crossBetween val="midCat"/>
      </c:valAx>
      <c:valAx>
        <c:axId val="1208423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8420415"/>
        <c:crossesAt val="0.1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29640097892601E-2"/>
          <c:y val="2.4603868245749436E-2"/>
          <c:w val="0.8523189432514463"/>
          <c:h val="0.79294662146390138"/>
        </c:manualLayout>
      </c:layout>
      <c:scatterChart>
        <c:scatterStyle val="smoothMarker"/>
        <c:varyColors val="0"/>
        <c:ser>
          <c:idx val="2"/>
          <c:order val="0"/>
          <c:tx>
            <c:v>лабораторный номер 19</c:v>
          </c:tx>
          <c:xVal>
            <c:numRef>
              <c:f>'Для аппроксимации'!$G$23:$P$23</c:f>
              <c:numCache>
                <c:formatCode>General</c:formatCode>
                <c:ptCount val="10"/>
                <c:pt idx="0">
                  <c:v>100</c:v>
                </c:pt>
                <c:pt idx="1">
                  <c:v>82.83</c:v>
                </c:pt>
                <c:pt idx="2">
                  <c:v>69.150000000000006</c:v>
                </c:pt>
                <c:pt idx="3">
                  <c:v>56.51</c:v>
                </c:pt>
                <c:pt idx="4">
                  <c:v>45.5</c:v>
                </c:pt>
                <c:pt idx="5">
                  <c:v>37.36</c:v>
                </c:pt>
                <c:pt idx="6">
                  <c:v>31.88</c:v>
                </c:pt>
                <c:pt idx="7" formatCode="0.00">
                  <c:v>28.22</c:v>
                </c:pt>
                <c:pt idx="8">
                  <c:v>26.19</c:v>
                </c:pt>
                <c:pt idx="9">
                  <c:v>24.76</c:v>
                </c:pt>
              </c:numCache>
            </c:numRef>
          </c:xVal>
          <c:yVal>
            <c:numRef>
              <c:f>'Для аппроксимации'!$G$2:$P$2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95F-4238-A65A-7A948C028A51}"/>
            </c:ext>
          </c:extLst>
        </c:ser>
        <c:ser>
          <c:idx val="3"/>
          <c:order val="1"/>
          <c:tx>
            <c:v>модельный ККД образец 19</c:v>
          </c:tx>
          <c:spPr>
            <a:ln>
              <a:solidFill>
                <a:schemeClr val="accent3">
                  <a:lumMod val="60000"/>
                  <a:lumOff val="40000"/>
                </a:schemeClr>
              </a:solidFill>
              <a:prstDash val="dash"/>
            </a:ln>
          </c:spPr>
          <c:marker>
            <c:symbol val="triangle"/>
            <c:size val="6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accent3">
                    <a:lumMod val="60000"/>
                    <a:lumOff val="40000"/>
                    <a:alpha val="94000"/>
                  </a:schemeClr>
                </a:solidFill>
              </a:ln>
            </c:spPr>
          </c:marker>
          <c:xVal>
            <c:numRef>
              <c:f>'Для аппроксимации'!$AG$23:$AP$23</c:f>
              <c:numCache>
                <c:formatCode>General</c:formatCode>
                <c:ptCount val="10"/>
                <c:pt idx="0">
                  <c:v>99.706872516330336</c:v>
                </c:pt>
                <c:pt idx="1">
                  <c:v>87.764708551760137</c:v>
                </c:pt>
                <c:pt idx="2">
                  <c:v>78.281660953983874</c:v>
                </c:pt>
                <c:pt idx="3">
                  <c:v>64.657756853486958</c:v>
                </c:pt>
                <c:pt idx="4">
                  <c:v>50.646032121552196</c:v>
                </c:pt>
                <c:pt idx="5">
                  <c:v>39.57488682964749</c:v>
                </c:pt>
                <c:pt idx="6">
                  <c:v>32.519412567565205</c:v>
                </c:pt>
                <c:pt idx="7">
                  <c:v>28.630339012699849</c:v>
                </c:pt>
                <c:pt idx="8">
                  <c:v>26.61040880158961</c:v>
                </c:pt>
                <c:pt idx="9">
                  <c:v>25.640121898164569</c:v>
                </c:pt>
              </c:numCache>
            </c:numRef>
          </c:xVal>
          <c:yVal>
            <c:numRef>
              <c:f>'Для аппроксимации'!$AG$3:$AP$3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95F-4238-A65A-7A948C028A51}"/>
            </c:ext>
          </c:extLst>
        </c:ser>
        <c:ser>
          <c:idx val="0"/>
          <c:order val="2"/>
          <c:tx>
            <c:v>лабораторный номер 35</c:v>
          </c:tx>
          <c:spPr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'Для аппроксимации'!$G$39:$P$39</c:f>
              <c:numCache>
                <c:formatCode>General</c:formatCode>
                <c:ptCount val="10"/>
                <c:pt idx="0">
                  <c:v>100</c:v>
                </c:pt>
                <c:pt idx="1">
                  <c:v>91.85</c:v>
                </c:pt>
                <c:pt idx="2">
                  <c:v>87.83</c:v>
                </c:pt>
                <c:pt idx="3">
                  <c:v>78.7</c:v>
                </c:pt>
                <c:pt idx="4">
                  <c:v>67.319999999999993</c:v>
                </c:pt>
                <c:pt idx="5">
                  <c:v>58.35</c:v>
                </c:pt>
                <c:pt idx="6">
                  <c:v>50.86</c:v>
                </c:pt>
                <c:pt idx="7">
                  <c:v>44.93</c:v>
                </c:pt>
                <c:pt idx="8">
                  <c:v>40.14</c:v>
                </c:pt>
                <c:pt idx="9">
                  <c:v>36.97</c:v>
                </c:pt>
              </c:numCache>
            </c:numRef>
          </c:xVal>
          <c:yVal>
            <c:numRef>
              <c:f>'Для аппроксимации'!$G$2:$P$2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5F-4238-A65A-7A948C028A51}"/>
            </c:ext>
          </c:extLst>
        </c:ser>
        <c:ser>
          <c:idx val="1"/>
          <c:order val="3"/>
          <c:tx>
            <c:v>модельный ККД образец 35</c:v>
          </c:tx>
          <c:spPr>
            <a:ln>
              <a:solidFill>
                <a:schemeClr val="accent5"/>
              </a:solidFill>
              <a:prstDash val="dashDot"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'Для аппроксимации'!$AG$39:$AP$39</c:f>
              <c:numCache>
                <c:formatCode>General</c:formatCode>
                <c:ptCount val="10"/>
                <c:pt idx="0">
                  <c:v>99.855844733177364</c:v>
                </c:pt>
                <c:pt idx="1">
                  <c:v>93.551239923583253</c:v>
                </c:pt>
                <c:pt idx="2">
                  <c:v>87.861628382334018</c:v>
                </c:pt>
                <c:pt idx="3">
                  <c:v>78.370154005388542</c:v>
                </c:pt>
                <c:pt idx="4">
                  <c:v>66.522987251120483</c:v>
                </c:pt>
                <c:pt idx="5">
                  <c:v>55.177094626381525</c:v>
                </c:pt>
                <c:pt idx="6">
                  <c:v>46.76817483874737</c:v>
                </c:pt>
                <c:pt idx="7">
                  <c:v>41.660455519136804</c:v>
                </c:pt>
                <c:pt idx="8">
                  <c:v>38.85873588235156</c:v>
                </c:pt>
                <c:pt idx="9">
                  <c:v>37.474345230760029</c:v>
                </c:pt>
              </c:numCache>
            </c:numRef>
          </c:xVal>
          <c:yVal>
            <c:numRef>
              <c:f>'Для аппроксимации'!$AG$3:$AP$3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95F-4238-A65A-7A948C028A51}"/>
            </c:ext>
          </c:extLst>
        </c:ser>
        <c:ser>
          <c:idx val="4"/>
          <c:order val="4"/>
          <c:tx>
            <c:v>лабораторный образец 45</c:v>
          </c:tx>
          <c:spPr>
            <a:ln>
              <a:solidFill>
                <a:srgbClr val="7030A0"/>
              </a:solidFill>
            </a:ln>
          </c:spPr>
          <c:marker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'Для аппроксимации'!$G$49:$P$49</c:f>
              <c:numCache>
                <c:formatCode>General</c:formatCode>
                <c:ptCount val="10"/>
                <c:pt idx="0">
                  <c:v>100</c:v>
                </c:pt>
                <c:pt idx="1">
                  <c:v>98.19</c:v>
                </c:pt>
                <c:pt idx="2">
                  <c:v>97.28</c:v>
                </c:pt>
                <c:pt idx="3">
                  <c:v>96</c:v>
                </c:pt>
                <c:pt idx="4">
                  <c:v>92.06</c:v>
                </c:pt>
                <c:pt idx="5">
                  <c:v>85.13</c:v>
                </c:pt>
                <c:pt idx="6">
                  <c:v>76.87</c:v>
                </c:pt>
                <c:pt idx="7">
                  <c:v>71.260000000000005</c:v>
                </c:pt>
                <c:pt idx="8">
                  <c:v>67.84</c:v>
                </c:pt>
                <c:pt idx="9">
                  <c:v>65.42</c:v>
                </c:pt>
              </c:numCache>
            </c:numRef>
          </c:xVal>
          <c:yVal>
            <c:numRef>
              <c:f>'Для аппроксимации'!$G$2:$P$2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21-43BC-953E-AAB573516A44}"/>
            </c:ext>
          </c:extLst>
        </c:ser>
        <c:ser>
          <c:idx val="5"/>
          <c:order val="5"/>
          <c:tx>
            <c:v>модельный ККД образец 45</c:v>
          </c:tx>
          <c:spPr>
            <a:ln>
              <a:solidFill>
                <a:srgbClr val="7030A0"/>
              </a:solidFill>
              <a:prstDash val="dash"/>
            </a:ln>
          </c:spPr>
          <c:marker>
            <c:symbol val="square"/>
            <c:size val="6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'Для аппроксимации'!$AG$49:$AP$49</c:f>
              <c:numCache>
                <c:formatCode>General</c:formatCode>
                <c:ptCount val="10"/>
                <c:pt idx="0">
                  <c:v>99.96979337611468</c:v>
                </c:pt>
                <c:pt idx="1">
                  <c:v>98.552624693384516</c:v>
                </c:pt>
                <c:pt idx="2">
                  <c:v>97.088819226797497</c:v>
                </c:pt>
                <c:pt idx="3">
                  <c:v>94.142383162441845</c:v>
                </c:pt>
                <c:pt idx="4">
                  <c:v>89.191391663455263</c:v>
                </c:pt>
                <c:pt idx="5">
                  <c:v>82.26309037803685</c:v>
                </c:pt>
                <c:pt idx="6">
                  <c:v>74.706080285122567</c:v>
                </c:pt>
                <c:pt idx="7">
                  <c:v>68.428522127553265</c:v>
                </c:pt>
                <c:pt idx="8">
                  <c:v>64.183362623344124</c:v>
                </c:pt>
                <c:pt idx="9">
                  <c:v>61.816264371506527</c:v>
                </c:pt>
              </c:numCache>
            </c:numRef>
          </c:xVal>
          <c:yVal>
            <c:numRef>
              <c:f>'Для аппроксимации'!$G$2:$P$2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21-43BC-953E-AAB573516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6598623"/>
        <c:axId val="1356594303"/>
      </c:scatterChart>
      <c:valAx>
        <c:axId val="1356598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Кв, %</a:t>
                </a:r>
              </a:p>
            </c:rich>
          </c:tx>
          <c:overlay val="0"/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56594303"/>
        <c:crossesAt val="1.0000000000000002E-3"/>
        <c:crossBetween val="midCat"/>
      </c:valAx>
      <c:valAx>
        <c:axId val="135659430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Капиллярное давление, МПа</a:t>
                </a:r>
              </a:p>
            </c:rich>
          </c:tx>
          <c:overlay val="0"/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56598623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Кпр = 3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аппроксимации'!$F$102:$O$102</c:f>
              <c:numCache>
                <c:formatCode>General</c:formatCode>
                <c:ptCount val="10"/>
                <c:pt idx="0">
                  <c:v>99.992660681707235</c:v>
                </c:pt>
                <c:pt idx="1">
                  <c:v>99.641180855049654</c:v>
                </c:pt>
                <c:pt idx="2">
                  <c:v>99.262807723633131</c:v>
                </c:pt>
                <c:pt idx="3">
                  <c:v>98.449754336478264</c:v>
                </c:pt>
                <c:pt idx="4">
                  <c:v>96.904758027049283</c:v>
                </c:pt>
                <c:pt idx="5">
                  <c:v>94.261913633631508</c:v>
                </c:pt>
                <c:pt idx="6">
                  <c:v>90.468718788413696</c:v>
                </c:pt>
                <c:pt idx="7">
                  <c:v>86.216418394380796</c:v>
                </c:pt>
                <c:pt idx="8">
                  <c:v>82.48452568401423</c:v>
                </c:pt>
                <c:pt idx="9">
                  <c:v>79.986289788101317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71-4ECC-8CE4-578CF5614F8C}"/>
            </c:ext>
          </c:extLst>
        </c:ser>
        <c:ser>
          <c:idx val="1"/>
          <c:order val="1"/>
          <c:tx>
            <c:v>Кпр=10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аппроксимации'!$F$103:$O$103</c:f>
              <c:numCache>
                <c:formatCode>General</c:formatCode>
                <c:ptCount val="10"/>
                <c:pt idx="0">
                  <c:v>99.981467755376272</c:v>
                </c:pt>
                <c:pt idx="1">
                  <c:v>99.103596710477404</c:v>
                </c:pt>
                <c:pt idx="2">
                  <c:v>98.179194008253091</c:v>
                </c:pt>
                <c:pt idx="3">
                  <c:v>96.261956002259552</c:v>
                </c:pt>
                <c:pt idx="4">
                  <c:v>92.858856173443016</c:v>
                </c:pt>
                <c:pt idx="5">
                  <c:v>87.672076453098597</c:v>
                </c:pt>
                <c:pt idx="6">
                  <c:v>81.362623993486537</c:v>
                </c:pt>
                <c:pt idx="7">
                  <c:v>75.514182811108611</c:v>
                </c:pt>
                <c:pt idx="8">
                  <c:v>71.197850732823781</c:v>
                </c:pt>
                <c:pt idx="9">
                  <c:v>68.649983520984549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71-4ECC-8CE4-578CF5614F8C}"/>
            </c:ext>
          </c:extLst>
        </c:ser>
        <c:ser>
          <c:idx val="2"/>
          <c:order val="2"/>
          <c:tx>
            <c:v>Кпр=20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аппроксимации'!$F$104:$O$104</c:f>
              <c:numCache>
                <c:formatCode>General</c:formatCode>
                <c:ptCount val="10"/>
                <c:pt idx="0">
                  <c:v>99.970117156217583</c:v>
                </c:pt>
                <c:pt idx="1">
                  <c:v>98.567784376145994</c:v>
                </c:pt>
                <c:pt idx="2">
                  <c:v>97.118573804260109</c:v>
                </c:pt>
                <c:pt idx="3">
                  <c:v>94.199265933284735</c:v>
                </c:pt>
                <c:pt idx="4">
                  <c:v>89.287079663191051</c:v>
                </c:pt>
                <c:pt idx="5">
                  <c:v>82.398774743343679</c:v>
                </c:pt>
                <c:pt idx="6">
                  <c:v>74.866297224178027</c:v>
                </c:pt>
                <c:pt idx="7">
                  <c:v>68.593914757006416</c:v>
                </c:pt>
                <c:pt idx="8">
                  <c:v>64.344410462592137</c:v>
                </c:pt>
                <c:pt idx="9">
                  <c:v>61.972134630671995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71-4ECC-8CE4-578CF5614F8C}"/>
            </c:ext>
          </c:extLst>
        </c:ser>
        <c:ser>
          <c:idx val="3"/>
          <c:order val="3"/>
          <c:tx>
            <c:v>Кпр=50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аппроксимации'!$F$105:$O$105</c:f>
              <c:numCache>
                <c:formatCode>General</c:formatCode>
                <c:ptCount val="10"/>
                <c:pt idx="0">
                  <c:v>99.945894920428117</c:v>
                </c:pt>
                <c:pt idx="1">
                  <c:v>97.450899654621892</c:v>
                </c:pt>
                <c:pt idx="2">
                  <c:v>94.959990681375928</c:v>
                </c:pt>
                <c:pt idx="3">
                  <c:v>90.194352679339701</c:v>
                </c:pt>
                <c:pt idx="4">
                  <c:v>82.859017130314285</c:v>
                </c:pt>
                <c:pt idx="5">
                  <c:v>73.801864337487544</c:v>
                </c:pt>
                <c:pt idx="6">
                  <c:v>65.241457326368334</c:v>
                </c:pt>
                <c:pt idx="7">
                  <c:v>58.987344680295408</c:v>
                </c:pt>
                <c:pt idx="8">
                  <c:v>55.131881191852138</c:v>
                </c:pt>
                <c:pt idx="9">
                  <c:v>53.099158619771764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71-4ECC-8CE4-578CF5614F8C}"/>
            </c:ext>
          </c:extLst>
        </c:ser>
        <c:ser>
          <c:idx val="4"/>
          <c:order val="4"/>
          <c:tx>
            <c:v>Кпр=200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аппроксимации'!$F$106:$O$106</c:f>
              <c:numCache>
                <c:formatCode>General</c:formatCode>
                <c:ptCount val="10"/>
                <c:pt idx="0">
                  <c:v>99.874319240645619</c:v>
                </c:pt>
                <c:pt idx="1">
                  <c:v>94.322775504089989</c:v>
                </c:pt>
                <c:pt idx="2">
                  <c:v>89.218837431482868</c:v>
                </c:pt>
                <c:pt idx="3">
                  <c:v>80.499302211399282</c:v>
                </c:pt>
                <c:pt idx="4">
                  <c:v>69.240116558998253</c:v>
                </c:pt>
                <c:pt idx="5">
                  <c:v>58.045368268484246</c:v>
                </c:pt>
                <c:pt idx="6">
                  <c:v>49.474682321735635</c:v>
                </c:pt>
                <c:pt idx="7">
                  <c:v>44.150150060217285</c:v>
                </c:pt>
                <c:pt idx="8">
                  <c:v>41.190398629068866</c:v>
                </c:pt>
                <c:pt idx="9">
                  <c:v>39.717533390904563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D71-4ECC-8CE4-578CF5614F8C}"/>
            </c:ext>
          </c:extLst>
        </c:ser>
        <c:ser>
          <c:idx val="5"/>
          <c:order val="5"/>
          <c:tx>
            <c:v>Кпр=500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аппроксимации'!$F$107:$O$107</c:f>
              <c:numCache>
                <c:formatCode>General</c:formatCode>
                <c:ptCount val="10"/>
                <c:pt idx="0">
                  <c:v>99.786161872078182</c:v>
                </c:pt>
                <c:pt idx="1">
                  <c:v>90.75456339260397</c:v>
                </c:pt>
                <c:pt idx="2">
                  <c:v>83.108350968145359</c:v>
                </c:pt>
                <c:pt idx="3">
                  <c:v>71.305290941843012</c:v>
                </c:pt>
                <c:pt idx="4">
                  <c:v>58.033931797696098</c:v>
                </c:pt>
                <c:pt idx="5">
                  <c:v>46.625532173872692</c:v>
                </c:pt>
                <c:pt idx="6">
                  <c:v>38.881319026789264</c:v>
                </c:pt>
                <c:pt idx="7">
                  <c:v>34.44225367077118</c:v>
                </c:pt>
                <c:pt idx="8">
                  <c:v>32.086621393720819</c:v>
                </c:pt>
                <c:pt idx="9">
                  <c:v>30.942604479940027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D71-4ECC-8CE4-578CF5614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75119"/>
        <c:axId val="117334943"/>
      </c:scatterChart>
      <c:scatterChart>
        <c:scatterStyle val="smoothMarker"/>
        <c:varyColors val="0"/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0D71-4ECC-8CE4-578CF5614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025919"/>
        <c:axId val="116021119"/>
      </c:scatterChart>
      <c:valAx>
        <c:axId val="115475119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Кв,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7334943"/>
        <c:crossesAt val="1.0000000000000002E-3"/>
        <c:crossBetween val="midCat"/>
      </c:valAx>
      <c:valAx>
        <c:axId val="1173349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Рк лаб, Мпа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5475119"/>
        <c:crosses val="autoZero"/>
        <c:crossBetween val="midCat"/>
      </c:valAx>
      <c:valAx>
        <c:axId val="116021119"/>
        <c:scaling>
          <c:logBase val="10"/>
          <c:orientation val="minMax"/>
          <c:max val="158"/>
          <c:min val="0.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r>
                  <a:rPr lang="ru-RU"/>
                  <a:t>зчв,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6025919"/>
        <c:crosses val="max"/>
        <c:crossBetween val="midCat"/>
      </c:valAx>
      <c:valAx>
        <c:axId val="116025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602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1.6769466316710411E-3"/>
                  <c:y val="-0.1065106445027704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'Для аппроксимации'!$E$5:$E$84</c:f>
              <c:numCache>
                <c:formatCode>0.0</c:formatCode>
                <c:ptCount val="80"/>
                <c:pt idx="0" formatCode="0">
                  <c:v>38.140999999999998</c:v>
                </c:pt>
                <c:pt idx="1">
                  <c:v>16.763000000000002</c:v>
                </c:pt>
                <c:pt idx="2">
                  <c:v>12.314</c:v>
                </c:pt>
                <c:pt idx="3" formatCode="0">
                  <c:v>50.798999999999999</c:v>
                </c:pt>
                <c:pt idx="4" formatCode="0">
                  <c:v>38.279000000000003</c:v>
                </c:pt>
                <c:pt idx="5" formatCode="0">
                  <c:v>165.04599999999999</c:v>
                </c:pt>
                <c:pt idx="6">
                  <c:v>19.3626</c:v>
                </c:pt>
                <c:pt idx="7" formatCode="0">
                  <c:v>41.848999999999997</c:v>
                </c:pt>
                <c:pt idx="8" formatCode="0">
                  <c:v>39.237000000000002</c:v>
                </c:pt>
                <c:pt idx="9" formatCode="0">
                  <c:v>68.259399999999999</c:v>
                </c:pt>
                <c:pt idx="10">
                  <c:v>6.1269999999999998</c:v>
                </c:pt>
                <c:pt idx="11">
                  <c:v>8.2235999999999994</c:v>
                </c:pt>
                <c:pt idx="12">
                  <c:v>9.8209999999999997</c:v>
                </c:pt>
                <c:pt idx="13">
                  <c:v>5.2279999999999998</c:v>
                </c:pt>
                <c:pt idx="14">
                  <c:v>11.9</c:v>
                </c:pt>
                <c:pt idx="15">
                  <c:v>9.3070000000000004</c:v>
                </c:pt>
                <c:pt idx="16" formatCode="0">
                  <c:v>193.91</c:v>
                </c:pt>
                <c:pt idx="17" formatCode="0">
                  <c:v>73.666700000000006</c:v>
                </c:pt>
                <c:pt idx="18" formatCode="0">
                  <c:v>872.59400000000005</c:v>
                </c:pt>
                <c:pt idx="19">
                  <c:v>6.4406999999999996</c:v>
                </c:pt>
                <c:pt idx="20" formatCode="0">
                  <c:v>46.975999999999999</c:v>
                </c:pt>
                <c:pt idx="21" formatCode="0">
                  <c:v>103.875</c:v>
                </c:pt>
                <c:pt idx="22" formatCode="0">
                  <c:v>213.971</c:v>
                </c:pt>
                <c:pt idx="23" formatCode="0">
                  <c:v>63.169199999999996</c:v>
                </c:pt>
                <c:pt idx="24">
                  <c:v>8.7720000000000002</c:v>
                </c:pt>
                <c:pt idx="25" formatCode="0">
                  <c:v>276.43689999999998</c:v>
                </c:pt>
                <c:pt idx="26" formatCode="0">
                  <c:v>29.881900000000002</c:v>
                </c:pt>
                <c:pt idx="27" formatCode="0">
                  <c:v>375.00799999999998</c:v>
                </c:pt>
                <c:pt idx="28" formatCode="0">
                  <c:v>306.14699999999999</c:v>
                </c:pt>
                <c:pt idx="29" formatCode="0">
                  <c:v>40.808</c:v>
                </c:pt>
                <c:pt idx="30" formatCode="0">
                  <c:v>169.387</c:v>
                </c:pt>
                <c:pt idx="31" formatCode="0">
                  <c:v>333.49700000000001</c:v>
                </c:pt>
                <c:pt idx="32">
                  <c:v>20.532</c:v>
                </c:pt>
                <c:pt idx="33" formatCode="0">
                  <c:v>202.16499999999999</c:v>
                </c:pt>
                <c:pt idx="34" formatCode="0">
                  <c:v>252.63300000000001</c:v>
                </c:pt>
                <c:pt idx="35" formatCode="0">
                  <c:v>108.1237</c:v>
                </c:pt>
                <c:pt idx="36" formatCode="0">
                  <c:v>76.37</c:v>
                </c:pt>
                <c:pt idx="37" formatCode="0">
                  <c:v>51.557600000000001</c:v>
                </c:pt>
                <c:pt idx="38" formatCode="0">
                  <c:v>28.366499999999998</c:v>
                </c:pt>
                <c:pt idx="39" formatCode="0">
                  <c:v>366.0052</c:v>
                </c:pt>
                <c:pt idx="40" formatCode="0">
                  <c:v>153.71109999999999</c:v>
                </c:pt>
                <c:pt idx="41" formatCode="0">
                  <c:v>257.803</c:v>
                </c:pt>
                <c:pt idx="42" formatCode="0">
                  <c:v>720.02599999999995</c:v>
                </c:pt>
                <c:pt idx="43" formatCode="0">
                  <c:v>129.12700000000001</c:v>
                </c:pt>
                <c:pt idx="44">
                  <c:v>20.324999999999999</c:v>
                </c:pt>
                <c:pt idx="45">
                  <c:v>14.2</c:v>
                </c:pt>
                <c:pt idx="46">
                  <c:v>6.0469999999999997</c:v>
                </c:pt>
                <c:pt idx="47" formatCode="0">
                  <c:v>51.198999999999998</c:v>
                </c:pt>
                <c:pt idx="48" formatCode="0">
                  <c:v>41.248699999999999</c:v>
                </c:pt>
                <c:pt idx="49" formatCode="0">
                  <c:v>56.128</c:v>
                </c:pt>
                <c:pt idx="50" formatCode="0">
                  <c:v>27.78</c:v>
                </c:pt>
                <c:pt idx="51" formatCode="0">
                  <c:v>261.74700000000001</c:v>
                </c:pt>
                <c:pt idx="52">
                  <c:v>19.635000000000002</c:v>
                </c:pt>
                <c:pt idx="53">
                  <c:v>5.5419999999999998</c:v>
                </c:pt>
                <c:pt idx="54">
                  <c:v>7.1840000000000002</c:v>
                </c:pt>
                <c:pt idx="55">
                  <c:v>15.9594</c:v>
                </c:pt>
                <c:pt idx="56" formatCode="0">
                  <c:v>153.31780000000001</c:v>
                </c:pt>
                <c:pt idx="57" formatCode="0">
                  <c:v>187.559</c:v>
                </c:pt>
                <c:pt idx="58" formatCode="0">
                  <c:v>45.847900000000003</c:v>
                </c:pt>
                <c:pt idx="59" formatCode="0">
                  <c:v>76.739599999999996</c:v>
                </c:pt>
                <c:pt idx="60" formatCode="0">
                  <c:v>142.19470000000001</c:v>
                </c:pt>
                <c:pt idx="61" formatCode="0">
                  <c:v>99.798000000000002</c:v>
                </c:pt>
                <c:pt idx="62" formatCode="0">
                  <c:v>169.6362</c:v>
                </c:pt>
                <c:pt idx="63" formatCode="0">
                  <c:v>125.72799999999999</c:v>
                </c:pt>
                <c:pt idx="64" formatCode="0">
                  <c:v>454.41309999999999</c:v>
                </c:pt>
                <c:pt idx="65">
                  <c:v>10.573</c:v>
                </c:pt>
                <c:pt idx="66" formatCode="0">
                  <c:v>39.378999999999998</c:v>
                </c:pt>
                <c:pt idx="67" formatCode="0">
                  <c:v>66.616600000000005</c:v>
                </c:pt>
                <c:pt idx="68">
                  <c:v>3.3816999999999999</c:v>
                </c:pt>
                <c:pt idx="69">
                  <c:v>3.3816999999999999</c:v>
                </c:pt>
                <c:pt idx="70" formatCode="0">
                  <c:v>89.645099999999999</c:v>
                </c:pt>
                <c:pt idx="71" formatCode="0">
                  <c:v>88.275999999999996</c:v>
                </c:pt>
                <c:pt idx="72" formatCode="0">
                  <c:v>154.18119999999999</c:v>
                </c:pt>
                <c:pt idx="73" formatCode="0">
                  <c:v>148.3305</c:v>
                </c:pt>
                <c:pt idx="74" formatCode="0">
                  <c:v>148.87970000000001</c:v>
                </c:pt>
                <c:pt idx="75" formatCode="0">
                  <c:v>97.968000000000004</c:v>
                </c:pt>
                <c:pt idx="76" formatCode="0">
                  <c:v>60.822400000000002</c:v>
                </c:pt>
                <c:pt idx="77" formatCode="0">
                  <c:v>77.78</c:v>
                </c:pt>
                <c:pt idx="78">
                  <c:v>19.978000000000002</c:v>
                </c:pt>
                <c:pt idx="79">
                  <c:v>19.978000000000002</c:v>
                </c:pt>
              </c:numCache>
            </c:numRef>
          </c:xVal>
          <c:yVal>
            <c:numRef>
              <c:f>'Для аппроксимации'!$AB$5:$AB$84</c:f>
              <c:numCache>
                <c:formatCode>General</c:formatCode>
                <c:ptCount val="80"/>
                <c:pt idx="0">
                  <c:v>0.13742970504654586</c:v>
                </c:pt>
                <c:pt idx="1">
                  <c:v>0.16510537922346305</c:v>
                </c:pt>
                <c:pt idx="2">
                  <c:v>0.18019390449058487</c:v>
                </c:pt>
                <c:pt idx="3">
                  <c:v>0.10482560290372236</c:v>
                </c:pt>
                <c:pt idx="4">
                  <c:v>0.12771505293812177</c:v>
                </c:pt>
                <c:pt idx="5">
                  <c:v>0.11845378955513372</c:v>
                </c:pt>
                <c:pt idx="6">
                  <c:v>0.1780904101228718</c:v>
                </c:pt>
                <c:pt idx="7">
                  <c:v>0.1274741946281841</c:v>
                </c:pt>
                <c:pt idx="8">
                  <c:v>0.12506035220813894</c:v>
                </c:pt>
                <c:pt idx="9">
                  <c:v>0.12082921771688188</c:v>
                </c:pt>
                <c:pt idx="10">
                  <c:v>0.18064443487013146</c:v>
                </c:pt>
                <c:pt idx="11">
                  <c:v>0.19209718677282225</c:v>
                </c:pt>
                <c:pt idx="12">
                  <c:v>0.1897064747586597</c:v>
                </c:pt>
                <c:pt idx="13">
                  <c:v>0.22081243094257197</c:v>
                </c:pt>
                <c:pt idx="14">
                  <c:v>0.13146714706744828</c:v>
                </c:pt>
                <c:pt idx="15">
                  <c:v>0.21211771619345091</c:v>
                </c:pt>
                <c:pt idx="16">
                  <c:v>7.9587503058112866E-2</c:v>
                </c:pt>
                <c:pt idx="17">
                  <c:v>0.12640532280064917</c:v>
                </c:pt>
                <c:pt idx="18">
                  <c:v>3.8816378583624515E-2</c:v>
                </c:pt>
                <c:pt idx="19">
                  <c:v>0.26897485789800463</c:v>
                </c:pt>
                <c:pt idx="20">
                  <c:v>0.14518388388736839</c:v>
                </c:pt>
                <c:pt idx="21">
                  <c:v>0.12093924713010348</c:v>
                </c:pt>
                <c:pt idx="22">
                  <c:v>8.519238477534409E-2</c:v>
                </c:pt>
                <c:pt idx="23">
                  <c:v>0.12457539552971189</c:v>
                </c:pt>
                <c:pt idx="24">
                  <c:v>0.19076728454268921</c:v>
                </c:pt>
                <c:pt idx="25">
                  <c:v>7.9840367787020097E-2</c:v>
                </c:pt>
                <c:pt idx="26">
                  <c:v>0.16980128381831763</c:v>
                </c:pt>
                <c:pt idx="27">
                  <c:v>5.9379408209990624E-2</c:v>
                </c:pt>
                <c:pt idx="28">
                  <c:v>7.9741493129575139E-2</c:v>
                </c:pt>
                <c:pt idx="29">
                  <c:v>0.16113343068515623</c:v>
                </c:pt>
                <c:pt idx="30">
                  <c:v>0.12591994268215498</c:v>
                </c:pt>
                <c:pt idx="31">
                  <c:v>5.6068663727314477E-2</c:v>
                </c:pt>
                <c:pt idx="32">
                  <c:v>0.17502242658771186</c:v>
                </c:pt>
                <c:pt idx="33">
                  <c:v>8.7646259144976674E-2</c:v>
                </c:pt>
                <c:pt idx="34">
                  <c:v>7.9533779549180061E-2</c:v>
                </c:pt>
                <c:pt idx="35">
                  <c:v>0.12841626728987943</c:v>
                </c:pt>
                <c:pt idx="36">
                  <c:v>0.13010028201692811</c:v>
                </c:pt>
                <c:pt idx="37">
                  <c:v>0.1684405489659391</c:v>
                </c:pt>
                <c:pt idx="38">
                  <c:v>0.15178009151144137</c:v>
                </c:pt>
                <c:pt idx="39">
                  <c:v>5.1906851585715924E-2</c:v>
                </c:pt>
                <c:pt idx="40">
                  <c:v>6.8409754841590523E-2</c:v>
                </c:pt>
                <c:pt idx="41">
                  <c:v>6.8301282828135551E-2</c:v>
                </c:pt>
                <c:pt idx="42">
                  <c:v>3.7052570693969007E-2</c:v>
                </c:pt>
                <c:pt idx="43">
                  <c:v>0.10773003674834368</c:v>
                </c:pt>
                <c:pt idx="44">
                  <c:v>0.14672120623036297</c:v>
                </c:pt>
                <c:pt idx="45">
                  <c:v>0.15492579813859828</c:v>
                </c:pt>
                <c:pt idx="46">
                  <c:v>0.22022211042183029</c:v>
                </c:pt>
                <c:pt idx="47">
                  <c:v>0.12332430036325284</c:v>
                </c:pt>
                <c:pt idx="48">
                  <c:v>0.10628747471177724</c:v>
                </c:pt>
                <c:pt idx="49">
                  <c:v>0.11675842268615114</c:v>
                </c:pt>
                <c:pt idx="50">
                  <c:v>0.14241565257847194</c:v>
                </c:pt>
                <c:pt idx="51">
                  <c:v>5.7282114263043665E-2</c:v>
                </c:pt>
                <c:pt idx="52">
                  <c:v>0.19794874600853435</c:v>
                </c:pt>
                <c:pt idx="53">
                  <c:v>0.29911638323434103</c:v>
                </c:pt>
                <c:pt idx="54">
                  <c:v>0.25698258588218026</c:v>
                </c:pt>
                <c:pt idx="55">
                  <c:v>0.16335519446730229</c:v>
                </c:pt>
                <c:pt idx="56">
                  <c:v>9.4404359500288956E-2</c:v>
                </c:pt>
                <c:pt idx="57">
                  <c:v>8.6308597857315539E-2</c:v>
                </c:pt>
                <c:pt idx="58">
                  <c:v>0.13602898532410851</c:v>
                </c:pt>
                <c:pt idx="59">
                  <c:v>0.11662367178490743</c:v>
                </c:pt>
                <c:pt idx="60">
                  <c:v>0.12976393592357552</c:v>
                </c:pt>
                <c:pt idx="61">
                  <c:v>0.12660407207724708</c:v>
                </c:pt>
                <c:pt idx="62">
                  <c:v>8.2276542353529977E-2</c:v>
                </c:pt>
                <c:pt idx="63">
                  <c:v>9.8177035026838513E-2</c:v>
                </c:pt>
                <c:pt idx="64">
                  <c:v>4.4693328493752016E-2</c:v>
                </c:pt>
                <c:pt idx="65">
                  <c:v>0.19625306153917607</c:v>
                </c:pt>
                <c:pt idx="66">
                  <c:v>0.16118016901888257</c:v>
                </c:pt>
                <c:pt idx="67">
                  <c:v>0.11136501239954098</c:v>
                </c:pt>
                <c:pt idx="68">
                  <c:v>0.29860475131976355</c:v>
                </c:pt>
                <c:pt idx="69">
                  <c:v>0.29860475131976355</c:v>
                </c:pt>
                <c:pt idx="70">
                  <c:v>0.10880847426261417</c:v>
                </c:pt>
                <c:pt idx="71">
                  <c:v>0.1217115365495421</c:v>
                </c:pt>
                <c:pt idx="72">
                  <c:v>8.9161996978000063E-2</c:v>
                </c:pt>
                <c:pt idx="73">
                  <c:v>9.0392418227921892E-2</c:v>
                </c:pt>
                <c:pt idx="74">
                  <c:v>8.5067013340717104E-2</c:v>
                </c:pt>
                <c:pt idx="75">
                  <c:v>9.9238046455909737E-2</c:v>
                </c:pt>
                <c:pt idx="76">
                  <c:v>0.11514945006625769</c:v>
                </c:pt>
                <c:pt idx="77">
                  <c:v>0.11967721071497385</c:v>
                </c:pt>
                <c:pt idx="78">
                  <c:v>0.16543413080573779</c:v>
                </c:pt>
                <c:pt idx="79">
                  <c:v>0.16543413080573779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E-4125-AE7C-22D7F26C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762720"/>
        <c:axId val="1565763680"/>
      </c:scatterChart>
      <c:valAx>
        <c:axId val="1565762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5763680"/>
        <c:crosses val="autoZero"/>
        <c:crossBetween val="midCat"/>
      </c:valAx>
      <c:valAx>
        <c:axId val="156576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5762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9.3110619952862281E-2"/>
                  <c:y val="8.792029248454391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'Для аппроксимации'!$E$5:$E$84</c:f>
              <c:numCache>
                <c:formatCode>0.0</c:formatCode>
                <c:ptCount val="80"/>
                <c:pt idx="0" formatCode="0">
                  <c:v>38.140999999999998</c:v>
                </c:pt>
                <c:pt idx="1">
                  <c:v>16.763000000000002</c:v>
                </c:pt>
                <c:pt idx="2">
                  <c:v>12.314</c:v>
                </c:pt>
                <c:pt idx="3" formatCode="0">
                  <c:v>50.798999999999999</c:v>
                </c:pt>
                <c:pt idx="4" formatCode="0">
                  <c:v>38.279000000000003</c:v>
                </c:pt>
                <c:pt idx="5" formatCode="0">
                  <c:v>165.04599999999999</c:v>
                </c:pt>
                <c:pt idx="6">
                  <c:v>19.3626</c:v>
                </c:pt>
                <c:pt idx="7" formatCode="0">
                  <c:v>41.848999999999997</c:v>
                </c:pt>
                <c:pt idx="8" formatCode="0">
                  <c:v>39.237000000000002</c:v>
                </c:pt>
                <c:pt idx="9" formatCode="0">
                  <c:v>68.259399999999999</c:v>
                </c:pt>
                <c:pt idx="10">
                  <c:v>6.1269999999999998</c:v>
                </c:pt>
                <c:pt idx="11">
                  <c:v>8.2235999999999994</c:v>
                </c:pt>
                <c:pt idx="12">
                  <c:v>9.8209999999999997</c:v>
                </c:pt>
                <c:pt idx="13">
                  <c:v>5.2279999999999998</c:v>
                </c:pt>
                <c:pt idx="14">
                  <c:v>11.9</c:v>
                </c:pt>
                <c:pt idx="15">
                  <c:v>9.3070000000000004</c:v>
                </c:pt>
                <c:pt idx="16" formatCode="0">
                  <c:v>193.91</c:v>
                </c:pt>
                <c:pt idx="17" formatCode="0">
                  <c:v>73.666700000000006</c:v>
                </c:pt>
                <c:pt idx="18" formatCode="0">
                  <c:v>872.59400000000005</c:v>
                </c:pt>
                <c:pt idx="19">
                  <c:v>6.4406999999999996</c:v>
                </c:pt>
                <c:pt idx="20" formatCode="0">
                  <c:v>46.975999999999999</c:v>
                </c:pt>
                <c:pt idx="21" formatCode="0">
                  <c:v>103.875</c:v>
                </c:pt>
                <c:pt idx="22" formatCode="0">
                  <c:v>213.971</c:v>
                </c:pt>
                <c:pt idx="23" formatCode="0">
                  <c:v>63.169199999999996</c:v>
                </c:pt>
                <c:pt idx="24">
                  <c:v>8.7720000000000002</c:v>
                </c:pt>
                <c:pt idx="25" formatCode="0">
                  <c:v>276.43689999999998</c:v>
                </c:pt>
                <c:pt idx="26" formatCode="0">
                  <c:v>29.881900000000002</c:v>
                </c:pt>
                <c:pt idx="27" formatCode="0">
                  <c:v>375.00799999999998</c:v>
                </c:pt>
                <c:pt idx="28" formatCode="0">
                  <c:v>306.14699999999999</c:v>
                </c:pt>
                <c:pt idx="29" formatCode="0">
                  <c:v>40.808</c:v>
                </c:pt>
                <c:pt idx="30" formatCode="0">
                  <c:v>169.387</c:v>
                </c:pt>
                <c:pt idx="31" formatCode="0">
                  <c:v>333.49700000000001</c:v>
                </c:pt>
                <c:pt idx="32">
                  <c:v>20.532</c:v>
                </c:pt>
                <c:pt idx="33" formatCode="0">
                  <c:v>202.16499999999999</c:v>
                </c:pt>
                <c:pt idx="34" formatCode="0">
                  <c:v>252.63300000000001</c:v>
                </c:pt>
                <c:pt idx="35" formatCode="0">
                  <c:v>108.1237</c:v>
                </c:pt>
                <c:pt idx="36" formatCode="0">
                  <c:v>76.37</c:v>
                </c:pt>
                <c:pt idx="37" formatCode="0">
                  <c:v>51.557600000000001</c:v>
                </c:pt>
                <c:pt idx="38" formatCode="0">
                  <c:v>28.366499999999998</c:v>
                </c:pt>
                <c:pt idx="39" formatCode="0">
                  <c:v>366.0052</c:v>
                </c:pt>
                <c:pt idx="40" formatCode="0">
                  <c:v>153.71109999999999</c:v>
                </c:pt>
                <c:pt idx="41" formatCode="0">
                  <c:v>257.803</c:v>
                </c:pt>
                <c:pt idx="42" formatCode="0">
                  <c:v>720.02599999999995</c:v>
                </c:pt>
                <c:pt idx="43" formatCode="0">
                  <c:v>129.12700000000001</c:v>
                </c:pt>
                <c:pt idx="44">
                  <c:v>20.324999999999999</c:v>
                </c:pt>
                <c:pt idx="45">
                  <c:v>14.2</c:v>
                </c:pt>
                <c:pt idx="46">
                  <c:v>6.0469999999999997</c:v>
                </c:pt>
                <c:pt idx="47" formatCode="0">
                  <c:v>51.198999999999998</c:v>
                </c:pt>
                <c:pt idx="48" formatCode="0">
                  <c:v>41.248699999999999</c:v>
                </c:pt>
                <c:pt idx="49" formatCode="0">
                  <c:v>56.128</c:v>
                </c:pt>
                <c:pt idx="50" formatCode="0">
                  <c:v>27.78</c:v>
                </c:pt>
                <c:pt idx="51" formatCode="0">
                  <c:v>261.74700000000001</c:v>
                </c:pt>
                <c:pt idx="52">
                  <c:v>19.635000000000002</c:v>
                </c:pt>
                <c:pt idx="53">
                  <c:v>5.5419999999999998</c:v>
                </c:pt>
                <c:pt idx="54">
                  <c:v>7.1840000000000002</c:v>
                </c:pt>
                <c:pt idx="55">
                  <c:v>15.9594</c:v>
                </c:pt>
                <c:pt idx="56" formatCode="0">
                  <c:v>153.31780000000001</c:v>
                </c:pt>
                <c:pt idx="57" formatCode="0">
                  <c:v>187.559</c:v>
                </c:pt>
                <c:pt idx="58" formatCode="0">
                  <c:v>45.847900000000003</c:v>
                </c:pt>
                <c:pt idx="59" formatCode="0">
                  <c:v>76.739599999999996</c:v>
                </c:pt>
                <c:pt idx="60" formatCode="0">
                  <c:v>142.19470000000001</c:v>
                </c:pt>
                <c:pt idx="61" formatCode="0">
                  <c:v>99.798000000000002</c:v>
                </c:pt>
                <c:pt idx="62" formatCode="0">
                  <c:v>169.6362</c:v>
                </c:pt>
                <c:pt idx="63" formatCode="0">
                  <c:v>125.72799999999999</c:v>
                </c:pt>
                <c:pt idx="64" formatCode="0">
                  <c:v>454.41309999999999</c:v>
                </c:pt>
                <c:pt idx="65">
                  <c:v>10.573</c:v>
                </c:pt>
                <c:pt idx="66" formatCode="0">
                  <c:v>39.378999999999998</c:v>
                </c:pt>
                <c:pt idx="67" formatCode="0">
                  <c:v>66.616600000000005</c:v>
                </c:pt>
                <c:pt idx="68">
                  <c:v>3.3816999999999999</c:v>
                </c:pt>
                <c:pt idx="69">
                  <c:v>3.3816999999999999</c:v>
                </c:pt>
                <c:pt idx="70" formatCode="0">
                  <c:v>89.645099999999999</c:v>
                </c:pt>
                <c:pt idx="71" formatCode="0">
                  <c:v>88.275999999999996</c:v>
                </c:pt>
                <c:pt idx="72" formatCode="0">
                  <c:v>154.18119999999999</c:v>
                </c:pt>
                <c:pt idx="73" formatCode="0">
                  <c:v>148.3305</c:v>
                </c:pt>
                <c:pt idx="74" formatCode="0">
                  <c:v>148.87970000000001</c:v>
                </c:pt>
                <c:pt idx="75" formatCode="0">
                  <c:v>97.968000000000004</c:v>
                </c:pt>
                <c:pt idx="76" formatCode="0">
                  <c:v>60.822400000000002</c:v>
                </c:pt>
                <c:pt idx="77" formatCode="0">
                  <c:v>77.78</c:v>
                </c:pt>
                <c:pt idx="78">
                  <c:v>19.978000000000002</c:v>
                </c:pt>
                <c:pt idx="79">
                  <c:v>19.978000000000002</c:v>
                </c:pt>
              </c:numCache>
            </c:numRef>
          </c:xVal>
          <c:yVal>
            <c:numRef>
              <c:f>'Для аппроксимации'!$AA$5:$AA$84</c:f>
              <c:numCache>
                <c:formatCode>General</c:formatCode>
                <c:ptCount val="80"/>
                <c:pt idx="0">
                  <c:v>0.73341324254966167</c:v>
                </c:pt>
                <c:pt idx="1">
                  <c:v>0.77482855405597451</c:v>
                </c:pt>
                <c:pt idx="2">
                  <c:v>0.72621724100933371</c:v>
                </c:pt>
                <c:pt idx="3">
                  <c:v>0.70848903809029218</c:v>
                </c:pt>
                <c:pt idx="4">
                  <c:v>0.73632211517155077</c:v>
                </c:pt>
                <c:pt idx="5">
                  <c:v>0.64141787208855949</c:v>
                </c:pt>
                <c:pt idx="6">
                  <c:v>0.73562037522273349</c:v>
                </c:pt>
                <c:pt idx="7">
                  <c:v>0.70623091416902983</c:v>
                </c:pt>
                <c:pt idx="8">
                  <c:v>0.7821822031812381</c:v>
                </c:pt>
                <c:pt idx="9">
                  <c:v>0.64654342389819774</c:v>
                </c:pt>
                <c:pt idx="10">
                  <c:v>0.72896073354120738</c:v>
                </c:pt>
                <c:pt idx="11">
                  <c:v>0.77510683372057643</c:v>
                </c:pt>
                <c:pt idx="12">
                  <c:v>0.64760942697521595</c:v>
                </c:pt>
                <c:pt idx="13">
                  <c:v>0.67436738656801465</c:v>
                </c:pt>
                <c:pt idx="14">
                  <c:v>0.75313727169704481</c:v>
                </c:pt>
                <c:pt idx="15">
                  <c:v>0.7639745128357941</c:v>
                </c:pt>
                <c:pt idx="16">
                  <c:v>0.71563689257722207</c:v>
                </c:pt>
                <c:pt idx="17">
                  <c:v>0.70136624642854761</c:v>
                </c:pt>
                <c:pt idx="18">
                  <c:v>0.75986867840971661</c:v>
                </c:pt>
                <c:pt idx="19">
                  <c:v>0.77424223769269818</c:v>
                </c:pt>
                <c:pt idx="20">
                  <c:v>0.64767888903508153</c:v>
                </c:pt>
                <c:pt idx="21">
                  <c:v>0.59812474214099043</c:v>
                </c:pt>
                <c:pt idx="22">
                  <c:v>0.76394837772060464</c:v>
                </c:pt>
                <c:pt idx="23">
                  <c:v>0.64019625963239268</c:v>
                </c:pt>
                <c:pt idx="24">
                  <c:v>0.66374932624006266</c:v>
                </c:pt>
                <c:pt idx="25">
                  <c:v>0.75744388821007336</c:v>
                </c:pt>
                <c:pt idx="26">
                  <c:v>0.66671286859309831</c:v>
                </c:pt>
                <c:pt idx="27">
                  <c:v>0.82702744534443196</c:v>
                </c:pt>
                <c:pt idx="28">
                  <c:v>0.78446938196920946</c:v>
                </c:pt>
                <c:pt idx="29">
                  <c:v>0.62158409352827737</c:v>
                </c:pt>
                <c:pt idx="30">
                  <c:v>0.68544136324532956</c:v>
                </c:pt>
                <c:pt idx="31">
                  <c:v>0.83470382926806563</c:v>
                </c:pt>
                <c:pt idx="32">
                  <c:v>0.81579969241969941</c:v>
                </c:pt>
                <c:pt idx="33">
                  <c:v>0.74612558381071237</c:v>
                </c:pt>
                <c:pt idx="34">
                  <c:v>0.79097598395260216</c:v>
                </c:pt>
                <c:pt idx="35">
                  <c:v>0.70907902726292038</c:v>
                </c:pt>
                <c:pt idx="36">
                  <c:v>0.68498566368093694</c:v>
                </c:pt>
                <c:pt idx="37">
                  <c:v>0.61289769281262685</c:v>
                </c:pt>
                <c:pt idx="38">
                  <c:v>0.6919971803742383</c:v>
                </c:pt>
                <c:pt idx="39">
                  <c:v>0.76262120880443085</c:v>
                </c:pt>
                <c:pt idx="40">
                  <c:v>0.70875668155462901</c:v>
                </c:pt>
                <c:pt idx="41">
                  <c:v>0.7703223039956868</c:v>
                </c:pt>
                <c:pt idx="42">
                  <c:v>0.79729730630983997</c:v>
                </c:pt>
                <c:pt idx="43">
                  <c:v>0.66504115325022095</c:v>
                </c:pt>
                <c:pt idx="44">
                  <c:v>0.65783691473433059</c:v>
                </c:pt>
                <c:pt idx="45">
                  <c:v>0.72288139704939081</c:v>
                </c:pt>
                <c:pt idx="46">
                  <c:v>0.69275863358505285</c:v>
                </c:pt>
                <c:pt idx="47">
                  <c:v>0.64820032034491515</c:v>
                </c:pt>
                <c:pt idx="48">
                  <c:v>0.6622047558118126</c:v>
                </c:pt>
                <c:pt idx="49">
                  <c:v>0.61296846255796156</c:v>
                </c:pt>
                <c:pt idx="50">
                  <c:v>0.72698745855738012</c:v>
                </c:pt>
                <c:pt idx="51">
                  <c:v>0.72471558339354647</c:v>
                </c:pt>
                <c:pt idx="52">
                  <c:v>0.72451919450020807</c:v>
                </c:pt>
                <c:pt idx="53">
                  <c:v>0.75279689533098648</c:v>
                </c:pt>
                <c:pt idx="54">
                  <c:v>0.86636497545892521</c:v>
                </c:pt>
                <c:pt idx="55">
                  <c:v>0.70182088045022561</c:v>
                </c:pt>
                <c:pt idx="56">
                  <c:v>0.69867360253517019</c:v>
                </c:pt>
                <c:pt idx="57">
                  <c:v>0.67416752683084447</c:v>
                </c:pt>
                <c:pt idx="58">
                  <c:v>0.6742296669139628</c:v>
                </c:pt>
                <c:pt idx="59">
                  <c:v>0.65525180957952911</c:v>
                </c:pt>
                <c:pt idx="60">
                  <c:v>0.64548022763252655</c:v>
                </c:pt>
                <c:pt idx="61">
                  <c:v>0.64897445691647848</c:v>
                </c:pt>
                <c:pt idx="62">
                  <c:v>0.73022824453043289</c:v>
                </c:pt>
                <c:pt idx="63">
                  <c:v>0.66355957981309666</c:v>
                </c:pt>
                <c:pt idx="64">
                  <c:v>0.82860619398237068</c:v>
                </c:pt>
                <c:pt idx="65">
                  <c:v>0.71712972873576553</c:v>
                </c:pt>
                <c:pt idx="66">
                  <c:v>0.66545904796222122</c:v>
                </c:pt>
                <c:pt idx="67">
                  <c:v>0.6772481177472861</c:v>
                </c:pt>
                <c:pt idx="68">
                  <c:v>0.77476961231792918</c:v>
                </c:pt>
                <c:pt idx="69">
                  <c:v>0.77476961231792918</c:v>
                </c:pt>
                <c:pt idx="70">
                  <c:v>0.76842605485539406</c:v>
                </c:pt>
                <c:pt idx="71">
                  <c:v>0.63796722752544377</c:v>
                </c:pt>
                <c:pt idx="72">
                  <c:v>0.67852367635563349</c:v>
                </c:pt>
                <c:pt idx="73">
                  <c:v>0.66816349081037341</c:v>
                </c:pt>
                <c:pt idx="74">
                  <c:v>0.660874898646993</c:v>
                </c:pt>
                <c:pt idx="75">
                  <c:v>0.6644808317895925</c:v>
                </c:pt>
                <c:pt idx="76">
                  <c:v>0.6452604895470192</c:v>
                </c:pt>
                <c:pt idx="77">
                  <c:v>0.60546349797363552</c:v>
                </c:pt>
                <c:pt idx="78">
                  <c:v>0.70160324464552148</c:v>
                </c:pt>
                <c:pt idx="79">
                  <c:v>0.70160324464552148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13-4162-9246-598C8704C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04976"/>
        <c:axId val="30905456"/>
      </c:scatterChart>
      <c:valAx>
        <c:axId val="30904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905456"/>
        <c:crosses val="autoZero"/>
        <c:crossBetween val="midCat"/>
      </c:valAx>
      <c:valAx>
        <c:axId val="3090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904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-3.5563863889110321E-2"/>
                  <c:y val="-0.1513898323119386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'Для аппроксимации'!$E$5:$E$84</c:f>
              <c:numCache>
                <c:formatCode>0.0</c:formatCode>
                <c:ptCount val="80"/>
                <c:pt idx="0" formatCode="0">
                  <c:v>38.140999999999998</c:v>
                </c:pt>
                <c:pt idx="1">
                  <c:v>16.763000000000002</c:v>
                </c:pt>
                <c:pt idx="2">
                  <c:v>12.314</c:v>
                </c:pt>
                <c:pt idx="3" formatCode="0">
                  <c:v>50.798999999999999</c:v>
                </c:pt>
                <c:pt idx="4" formatCode="0">
                  <c:v>38.279000000000003</c:v>
                </c:pt>
                <c:pt idx="5" formatCode="0">
                  <c:v>165.04599999999999</c:v>
                </c:pt>
                <c:pt idx="6">
                  <c:v>19.3626</c:v>
                </c:pt>
                <c:pt idx="7" formatCode="0">
                  <c:v>41.848999999999997</c:v>
                </c:pt>
                <c:pt idx="8" formatCode="0">
                  <c:v>39.237000000000002</c:v>
                </c:pt>
                <c:pt idx="9" formatCode="0">
                  <c:v>68.259399999999999</c:v>
                </c:pt>
                <c:pt idx="10">
                  <c:v>6.1269999999999998</c:v>
                </c:pt>
                <c:pt idx="11">
                  <c:v>8.2235999999999994</c:v>
                </c:pt>
                <c:pt idx="12">
                  <c:v>9.8209999999999997</c:v>
                </c:pt>
                <c:pt idx="13">
                  <c:v>5.2279999999999998</c:v>
                </c:pt>
                <c:pt idx="14">
                  <c:v>11.9</c:v>
                </c:pt>
                <c:pt idx="15">
                  <c:v>9.3070000000000004</c:v>
                </c:pt>
                <c:pt idx="16" formatCode="0">
                  <c:v>193.91</c:v>
                </c:pt>
                <c:pt idx="17" formatCode="0">
                  <c:v>73.666700000000006</c:v>
                </c:pt>
                <c:pt idx="18" formatCode="0">
                  <c:v>872.59400000000005</c:v>
                </c:pt>
                <c:pt idx="19">
                  <c:v>6.4406999999999996</c:v>
                </c:pt>
                <c:pt idx="20" formatCode="0">
                  <c:v>46.975999999999999</c:v>
                </c:pt>
                <c:pt idx="21" formatCode="0">
                  <c:v>103.875</c:v>
                </c:pt>
                <c:pt idx="22" formatCode="0">
                  <c:v>213.971</c:v>
                </c:pt>
                <c:pt idx="23" formatCode="0">
                  <c:v>63.169199999999996</c:v>
                </c:pt>
                <c:pt idx="24">
                  <c:v>8.7720000000000002</c:v>
                </c:pt>
                <c:pt idx="25" formatCode="0">
                  <c:v>276.43689999999998</c:v>
                </c:pt>
                <c:pt idx="26" formatCode="0">
                  <c:v>29.881900000000002</c:v>
                </c:pt>
                <c:pt idx="27" formatCode="0">
                  <c:v>375.00799999999998</c:v>
                </c:pt>
                <c:pt idx="28" formatCode="0">
                  <c:v>306.14699999999999</c:v>
                </c:pt>
                <c:pt idx="29" formatCode="0">
                  <c:v>40.808</c:v>
                </c:pt>
                <c:pt idx="30" formatCode="0">
                  <c:v>169.387</c:v>
                </c:pt>
                <c:pt idx="31" formatCode="0">
                  <c:v>333.49700000000001</c:v>
                </c:pt>
                <c:pt idx="32">
                  <c:v>20.532</c:v>
                </c:pt>
                <c:pt idx="33" formatCode="0">
                  <c:v>202.16499999999999</c:v>
                </c:pt>
                <c:pt idx="34" formatCode="0">
                  <c:v>252.63300000000001</c:v>
                </c:pt>
                <c:pt idx="35" formatCode="0">
                  <c:v>108.1237</c:v>
                </c:pt>
                <c:pt idx="36" formatCode="0">
                  <c:v>76.37</c:v>
                </c:pt>
                <c:pt idx="37" formatCode="0">
                  <c:v>51.557600000000001</c:v>
                </c:pt>
                <c:pt idx="38" formatCode="0">
                  <c:v>28.366499999999998</c:v>
                </c:pt>
                <c:pt idx="39" formatCode="0">
                  <c:v>366.0052</c:v>
                </c:pt>
                <c:pt idx="40" formatCode="0">
                  <c:v>153.71109999999999</c:v>
                </c:pt>
                <c:pt idx="41" formatCode="0">
                  <c:v>257.803</c:v>
                </c:pt>
                <c:pt idx="42" formatCode="0">
                  <c:v>720.02599999999995</c:v>
                </c:pt>
                <c:pt idx="43" formatCode="0">
                  <c:v>129.12700000000001</c:v>
                </c:pt>
                <c:pt idx="44">
                  <c:v>20.324999999999999</c:v>
                </c:pt>
                <c:pt idx="45">
                  <c:v>14.2</c:v>
                </c:pt>
                <c:pt idx="46">
                  <c:v>6.0469999999999997</c:v>
                </c:pt>
                <c:pt idx="47" formatCode="0">
                  <c:v>51.198999999999998</c:v>
                </c:pt>
                <c:pt idx="48" formatCode="0">
                  <c:v>41.248699999999999</c:v>
                </c:pt>
                <c:pt idx="49" formatCode="0">
                  <c:v>56.128</c:v>
                </c:pt>
                <c:pt idx="50" formatCode="0">
                  <c:v>27.78</c:v>
                </c:pt>
                <c:pt idx="51" formatCode="0">
                  <c:v>261.74700000000001</c:v>
                </c:pt>
                <c:pt idx="52">
                  <c:v>19.635000000000002</c:v>
                </c:pt>
                <c:pt idx="53">
                  <c:v>5.5419999999999998</c:v>
                </c:pt>
                <c:pt idx="54">
                  <c:v>7.1840000000000002</c:v>
                </c:pt>
                <c:pt idx="55">
                  <c:v>15.9594</c:v>
                </c:pt>
                <c:pt idx="56" formatCode="0">
                  <c:v>153.31780000000001</c:v>
                </c:pt>
                <c:pt idx="57" formatCode="0">
                  <c:v>187.559</c:v>
                </c:pt>
                <c:pt idx="58" formatCode="0">
                  <c:v>45.847900000000003</c:v>
                </c:pt>
                <c:pt idx="59" formatCode="0">
                  <c:v>76.739599999999996</c:v>
                </c:pt>
                <c:pt idx="60" formatCode="0">
                  <c:v>142.19470000000001</c:v>
                </c:pt>
                <c:pt idx="61" formatCode="0">
                  <c:v>99.798000000000002</c:v>
                </c:pt>
                <c:pt idx="62" formatCode="0">
                  <c:v>169.6362</c:v>
                </c:pt>
                <c:pt idx="63" formatCode="0">
                  <c:v>125.72799999999999</c:v>
                </c:pt>
                <c:pt idx="64" formatCode="0">
                  <c:v>454.41309999999999</c:v>
                </c:pt>
                <c:pt idx="65">
                  <c:v>10.573</c:v>
                </c:pt>
                <c:pt idx="66" formatCode="0">
                  <c:v>39.378999999999998</c:v>
                </c:pt>
                <c:pt idx="67" formatCode="0">
                  <c:v>66.616600000000005</c:v>
                </c:pt>
                <c:pt idx="68">
                  <c:v>3.3816999999999999</c:v>
                </c:pt>
                <c:pt idx="69">
                  <c:v>3.3816999999999999</c:v>
                </c:pt>
                <c:pt idx="70" formatCode="0">
                  <c:v>89.645099999999999</c:v>
                </c:pt>
                <c:pt idx="71" formatCode="0">
                  <c:v>88.275999999999996</c:v>
                </c:pt>
                <c:pt idx="72" formatCode="0">
                  <c:v>154.18119999999999</c:v>
                </c:pt>
                <c:pt idx="73" formatCode="0">
                  <c:v>148.3305</c:v>
                </c:pt>
                <c:pt idx="74" formatCode="0">
                  <c:v>148.87970000000001</c:v>
                </c:pt>
                <c:pt idx="75" formatCode="0">
                  <c:v>97.968000000000004</c:v>
                </c:pt>
                <c:pt idx="76" formatCode="0">
                  <c:v>60.822400000000002</c:v>
                </c:pt>
                <c:pt idx="77" formatCode="0">
                  <c:v>77.78</c:v>
                </c:pt>
                <c:pt idx="78">
                  <c:v>19.978000000000002</c:v>
                </c:pt>
                <c:pt idx="79">
                  <c:v>19.978000000000002</c:v>
                </c:pt>
              </c:numCache>
            </c:numRef>
          </c:xVal>
          <c:yVal>
            <c:numRef>
              <c:f>'Для аппроксимации'!$P$5:$P$84</c:f>
              <c:numCache>
                <c:formatCode>General</c:formatCode>
                <c:ptCount val="80"/>
                <c:pt idx="0">
                  <c:v>56.31</c:v>
                </c:pt>
                <c:pt idx="1">
                  <c:v>62.01</c:v>
                </c:pt>
                <c:pt idx="2">
                  <c:v>62.9</c:v>
                </c:pt>
                <c:pt idx="3">
                  <c:v>54.3</c:v>
                </c:pt>
                <c:pt idx="4">
                  <c:v>53.15</c:v>
                </c:pt>
                <c:pt idx="5">
                  <c:v>34.54</c:v>
                </c:pt>
                <c:pt idx="6">
                  <c:v>54.67</c:v>
                </c:pt>
                <c:pt idx="7">
                  <c:v>45.12</c:v>
                </c:pt>
                <c:pt idx="8">
                  <c:v>56.39</c:v>
                </c:pt>
                <c:pt idx="9">
                  <c:v>54.09</c:v>
                </c:pt>
                <c:pt idx="10">
                  <c:v>71.06</c:v>
                </c:pt>
                <c:pt idx="11">
                  <c:v>61.89</c:v>
                </c:pt>
                <c:pt idx="12">
                  <c:v>68.81</c:v>
                </c:pt>
                <c:pt idx="13">
                  <c:v>72.61</c:v>
                </c:pt>
                <c:pt idx="14">
                  <c:v>64.56</c:v>
                </c:pt>
                <c:pt idx="15">
                  <c:v>64.8</c:v>
                </c:pt>
                <c:pt idx="16">
                  <c:v>41.41</c:v>
                </c:pt>
                <c:pt idx="17">
                  <c:v>47.6</c:v>
                </c:pt>
                <c:pt idx="18">
                  <c:v>24.76</c:v>
                </c:pt>
                <c:pt idx="19">
                  <c:v>67.69</c:v>
                </c:pt>
                <c:pt idx="20">
                  <c:v>54.93</c:v>
                </c:pt>
                <c:pt idx="21">
                  <c:v>43.04</c:v>
                </c:pt>
                <c:pt idx="22">
                  <c:v>35.03</c:v>
                </c:pt>
                <c:pt idx="23">
                  <c:v>40.76</c:v>
                </c:pt>
                <c:pt idx="24">
                  <c:v>64.22</c:v>
                </c:pt>
                <c:pt idx="25">
                  <c:v>39.020000000000003</c:v>
                </c:pt>
                <c:pt idx="26">
                  <c:v>53.52</c:v>
                </c:pt>
                <c:pt idx="27">
                  <c:v>35.44</c:v>
                </c:pt>
                <c:pt idx="28">
                  <c:v>36.61</c:v>
                </c:pt>
                <c:pt idx="29">
                  <c:v>58.08</c:v>
                </c:pt>
                <c:pt idx="30">
                  <c:v>43.42</c:v>
                </c:pt>
                <c:pt idx="31">
                  <c:v>35.020000000000003</c:v>
                </c:pt>
                <c:pt idx="32">
                  <c:v>65.849999999999994</c:v>
                </c:pt>
                <c:pt idx="33">
                  <c:v>35.83</c:v>
                </c:pt>
                <c:pt idx="34">
                  <c:v>36.97</c:v>
                </c:pt>
                <c:pt idx="35">
                  <c:v>44.24</c:v>
                </c:pt>
                <c:pt idx="36">
                  <c:v>41.44</c:v>
                </c:pt>
                <c:pt idx="37">
                  <c:v>59.05</c:v>
                </c:pt>
                <c:pt idx="38">
                  <c:v>62.8</c:v>
                </c:pt>
                <c:pt idx="39">
                  <c:v>34.83</c:v>
                </c:pt>
                <c:pt idx="40">
                  <c:v>46.62</c:v>
                </c:pt>
                <c:pt idx="41">
                  <c:v>40.28</c:v>
                </c:pt>
                <c:pt idx="42">
                  <c:v>28.26</c:v>
                </c:pt>
                <c:pt idx="43">
                  <c:v>46.17</c:v>
                </c:pt>
                <c:pt idx="44">
                  <c:v>65.42</c:v>
                </c:pt>
                <c:pt idx="45">
                  <c:v>61.53</c:v>
                </c:pt>
                <c:pt idx="46">
                  <c:v>71.84</c:v>
                </c:pt>
                <c:pt idx="47">
                  <c:v>59.31</c:v>
                </c:pt>
                <c:pt idx="48">
                  <c:v>53.07</c:v>
                </c:pt>
                <c:pt idx="49">
                  <c:v>46.11</c:v>
                </c:pt>
                <c:pt idx="50">
                  <c:v>55.47</c:v>
                </c:pt>
                <c:pt idx="51">
                  <c:v>37.86</c:v>
                </c:pt>
                <c:pt idx="52">
                  <c:v>55.47</c:v>
                </c:pt>
                <c:pt idx="53">
                  <c:v>68.89</c:v>
                </c:pt>
                <c:pt idx="54">
                  <c:v>71.64</c:v>
                </c:pt>
                <c:pt idx="55">
                  <c:v>62.39</c:v>
                </c:pt>
                <c:pt idx="56">
                  <c:v>32.1</c:v>
                </c:pt>
                <c:pt idx="57">
                  <c:v>33.4</c:v>
                </c:pt>
                <c:pt idx="58">
                  <c:v>58.45</c:v>
                </c:pt>
                <c:pt idx="59">
                  <c:v>43.89</c:v>
                </c:pt>
                <c:pt idx="60">
                  <c:v>38.14</c:v>
                </c:pt>
                <c:pt idx="61">
                  <c:v>40.82</c:v>
                </c:pt>
                <c:pt idx="62">
                  <c:v>35.229999999999997</c:v>
                </c:pt>
                <c:pt idx="63">
                  <c:v>41.6</c:v>
                </c:pt>
                <c:pt idx="64">
                  <c:v>27.86</c:v>
                </c:pt>
                <c:pt idx="65">
                  <c:v>63.83</c:v>
                </c:pt>
                <c:pt idx="66">
                  <c:v>60.21</c:v>
                </c:pt>
                <c:pt idx="67">
                  <c:v>47.67</c:v>
                </c:pt>
                <c:pt idx="68">
                  <c:v>74.099999999999994</c:v>
                </c:pt>
                <c:pt idx="69">
                  <c:v>74.099999999999994</c:v>
                </c:pt>
                <c:pt idx="70">
                  <c:v>35.47</c:v>
                </c:pt>
                <c:pt idx="71">
                  <c:v>43.34</c:v>
                </c:pt>
                <c:pt idx="72">
                  <c:v>39.31</c:v>
                </c:pt>
                <c:pt idx="73">
                  <c:v>40.47</c:v>
                </c:pt>
                <c:pt idx="74">
                  <c:v>37.869999999999997</c:v>
                </c:pt>
                <c:pt idx="75">
                  <c:v>45.06</c:v>
                </c:pt>
                <c:pt idx="76">
                  <c:v>48.96</c:v>
                </c:pt>
                <c:pt idx="77">
                  <c:v>45.94</c:v>
                </c:pt>
                <c:pt idx="78">
                  <c:v>64.930000000000007</c:v>
                </c:pt>
                <c:pt idx="79">
                  <c:v>64.930000000000007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48-462C-A8F2-259377873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7450864"/>
        <c:axId val="1577452304"/>
      </c:scatterChart>
      <c:valAx>
        <c:axId val="157745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52304"/>
        <c:crosses val="autoZero"/>
        <c:crossBetween val="midCat"/>
      </c:valAx>
      <c:valAx>
        <c:axId val="157745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50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ОФП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ОФП!$H$210:$H$217</c:f>
              <c:numCache>
                <c:formatCode>0.00</c:formatCode>
                <c:ptCount val="8"/>
                <c:pt idx="0">
                  <c:v>49.18</c:v>
                </c:pt>
                <c:pt idx="1">
                  <c:v>55.401000000000003</c:v>
                </c:pt>
                <c:pt idx="2">
                  <c:v>60.106000000000002</c:v>
                </c:pt>
                <c:pt idx="3">
                  <c:v>61.854999999999997</c:v>
                </c:pt>
                <c:pt idx="4">
                  <c:v>63.334000000000003</c:v>
                </c:pt>
                <c:pt idx="5">
                  <c:v>65.162999999999997</c:v>
                </c:pt>
                <c:pt idx="6">
                  <c:v>68.191999999999993</c:v>
                </c:pt>
                <c:pt idx="7">
                  <c:v>69.555999999999997</c:v>
                </c:pt>
              </c:numCache>
            </c:numRef>
          </c:xVal>
          <c:yVal>
            <c:numRef>
              <c:f>ОФП!$J$210:$J$217</c:f>
              <c:numCache>
                <c:formatCode>0.0000</c:formatCode>
                <c:ptCount val="8"/>
                <c:pt idx="0">
                  <c:v>1</c:v>
                </c:pt>
                <c:pt idx="1">
                  <c:v>0.17849999999999999</c:v>
                </c:pt>
                <c:pt idx="2">
                  <c:v>4.58E-2</c:v>
                </c:pt>
                <c:pt idx="3">
                  <c:v>2.6700000000000002E-2</c:v>
                </c:pt>
                <c:pt idx="4">
                  <c:v>1.7299999999999999E-2</c:v>
                </c:pt>
                <c:pt idx="5">
                  <c:v>1.04E-2</c:v>
                </c:pt>
                <c:pt idx="6">
                  <c:v>4.1000000000000003E-3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A7-4141-BE17-3DB1C1C3845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ОФП!$H$210:$H$217</c:f>
              <c:numCache>
                <c:formatCode>0.00</c:formatCode>
                <c:ptCount val="8"/>
                <c:pt idx="0">
                  <c:v>49.18</c:v>
                </c:pt>
                <c:pt idx="1">
                  <c:v>55.401000000000003</c:v>
                </c:pt>
                <c:pt idx="2">
                  <c:v>60.106000000000002</c:v>
                </c:pt>
                <c:pt idx="3">
                  <c:v>61.854999999999997</c:v>
                </c:pt>
                <c:pt idx="4">
                  <c:v>63.334000000000003</c:v>
                </c:pt>
                <c:pt idx="5">
                  <c:v>65.162999999999997</c:v>
                </c:pt>
                <c:pt idx="6">
                  <c:v>68.191999999999993</c:v>
                </c:pt>
                <c:pt idx="7">
                  <c:v>69.555999999999997</c:v>
                </c:pt>
              </c:numCache>
            </c:numRef>
          </c:xVal>
          <c:yVal>
            <c:numRef>
              <c:f>ОФП!$K$210:$K$217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6.6E-3</c:v>
                </c:pt>
                <c:pt idx="3">
                  <c:v>1.0200000000000001E-2</c:v>
                </c:pt>
                <c:pt idx="4">
                  <c:v>1.49E-2</c:v>
                </c:pt>
                <c:pt idx="5">
                  <c:v>2.4E-2</c:v>
                </c:pt>
                <c:pt idx="6">
                  <c:v>5.21E-2</c:v>
                </c:pt>
                <c:pt idx="7">
                  <c:v>6.8000000000000005E-2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A7-4141-BE17-3DB1C1C3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278144"/>
        <c:axId val="1626273152"/>
      </c:scatterChart>
      <c:valAx>
        <c:axId val="162627814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ru-RU" sz="1200" b="1">
                    <a:latin typeface="Arial" panose="020B0604020202020204" pitchFamily="34" charset="0"/>
                    <a:cs typeface="Arial" panose="020B0604020202020204" pitchFamily="34" charset="0"/>
                  </a:rPr>
                  <a:t>Кв</a:t>
                </a:r>
                <a:r>
                  <a:rPr lang="en-US" sz="1200" b="1">
                    <a:latin typeface="Arial" panose="020B0604020202020204" pitchFamily="34" charset="0"/>
                    <a:cs typeface="Arial" panose="020B0604020202020204" pitchFamily="34" charset="0"/>
                  </a:rPr>
                  <a:t>, %</a:t>
                </a:r>
                <a:endParaRPr lang="ru-RU" sz="1200" b="1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ru-RU"/>
            </a:p>
          </c:txPr>
        </c:title>
        <c:numFmt formatCode="General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26273152"/>
        <c:crosses val="autoZero"/>
        <c:crossBetween val="midCat"/>
        <c:majorUnit val="10"/>
      </c:valAx>
      <c:valAx>
        <c:axId val="162627315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rgbClr val="969696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ru-RU" sz="1200" b="1">
                    <a:latin typeface="Arial" panose="020B0604020202020204" pitchFamily="34" charset="0"/>
                    <a:cs typeface="Arial" panose="020B0604020202020204" pitchFamily="34" charset="0"/>
                  </a:rPr>
                  <a:t>Относительная проницаемость  </a:t>
                </a:r>
              </a:p>
            </c:rich>
          </c:tx>
          <c:layout>
            <c:manualLayout>
              <c:xMode val="edge"/>
              <c:yMode val="edge"/>
              <c:x val="2.9794772243812946E-2"/>
              <c:y val="0.138352257671223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ru-RU"/>
            </a:p>
          </c:txPr>
        </c:title>
        <c:numFmt formatCode="General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26278144"/>
        <c:crosses val="autoZero"/>
        <c:crossBetween val="midCat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430553458771801E-2"/>
          <c:y val="3.4432400850468683E-2"/>
          <c:w val="0.8619469540878778"/>
          <c:h val="0.80747756326275855"/>
        </c:manualLayout>
      </c:layout>
      <c:scatterChart>
        <c:scatterStyle val="lineMarker"/>
        <c:varyColors val="0"/>
        <c:ser>
          <c:idx val="0"/>
          <c:order val="0"/>
          <c:tx>
            <c:v>Кв*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solidFill>
                  <a:schemeClr val="accent1">
                    <a:lumMod val="60000"/>
                    <a:lumOff val="4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ОФП!$F$2:$F$217</c:f>
              <c:numCache>
                <c:formatCode>0</c:formatCode>
                <c:ptCount val="216"/>
                <c:pt idx="0">
                  <c:v>248.75167198331815</c:v>
                </c:pt>
                <c:pt idx="8">
                  <c:v>74.289985671873552</c:v>
                </c:pt>
                <c:pt idx="16">
                  <c:v>97.290675619614504</c:v>
                </c:pt>
                <c:pt idx="24">
                  <c:v>65.412874958396884</c:v>
                </c:pt>
                <c:pt idx="32">
                  <c:v>49.964911434021062</c:v>
                </c:pt>
                <c:pt idx="40">
                  <c:v>446.40001346890602</c:v>
                </c:pt>
                <c:pt idx="48">
                  <c:v>293.18431165839678</c:v>
                </c:pt>
                <c:pt idx="56">
                  <c:v>275.18118309719409</c:v>
                </c:pt>
                <c:pt idx="64">
                  <c:v>795.22141329444753</c:v>
                </c:pt>
                <c:pt idx="72">
                  <c:v>183.95420561234849</c:v>
                </c:pt>
                <c:pt idx="80">
                  <c:v>227.45800241753238</c:v>
                </c:pt>
                <c:pt idx="88">
                  <c:v>83.54512341631748</c:v>
                </c:pt>
                <c:pt idx="96">
                  <c:v>61.312337447135924</c:v>
                </c:pt>
                <c:pt idx="104">
                  <c:v>230.65734242964271</c:v>
                </c:pt>
                <c:pt idx="112">
                  <c:v>95.075672121604214</c:v>
                </c:pt>
                <c:pt idx="120">
                  <c:v>61.056701206760451</c:v>
                </c:pt>
                <c:pt idx="128">
                  <c:v>48.235771737599954</c:v>
                </c:pt>
                <c:pt idx="136">
                  <c:v>532.18746139804023</c:v>
                </c:pt>
                <c:pt idx="144">
                  <c:v>5.415081042671031</c:v>
                </c:pt>
                <c:pt idx="152">
                  <c:v>48.069905473668086</c:v>
                </c:pt>
                <c:pt idx="160">
                  <c:v>6.2641291518623952</c:v>
                </c:pt>
                <c:pt idx="168">
                  <c:v>32.790119076216868</c:v>
                </c:pt>
                <c:pt idx="176">
                  <c:v>76.31900889998262</c:v>
                </c:pt>
                <c:pt idx="184">
                  <c:v>144.57889923586231</c:v>
                </c:pt>
                <c:pt idx="192">
                  <c:v>346.91586186750811</c:v>
                </c:pt>
                <c:pt idx="200">
                  <c:v>65.079308286164476</c:v>
                </c:pt>
                <c:pt idx="208">
                  <c:v>53.70989131396297</c:v>
                </c:pt>
              </c:numCache>
            </c:numRef>
          </c:xVal>
          <c:yVal>
            <c:numRef>
              <c:f>ОФП!$L$2:$L$217</c:f>
              <c:numCache>
                <c:formatCode>0.00</c:formatCode>
                <c:ptCount val="216"/>
                <c:pt idx="0">
                  <c:v>41.145000000000003</c:v>
                </c:pt>
                <c:pt idx="8">
                  <c:v>52.652999999999999</c:v>
                </c:pt>
                <c:pt idx="16">
                  <c:v>54.545000000000002</c:v>
                </c:pt>
                <c:pt idx="24">
                  <c:v>50.997</c:v>
                </c:pt>
                <c:pt idx="32">
                  <c:v>60.564999999999998</c:v>
                </c:pt>
                <c:pt idx="40">
                  <c:v>38.042000000000002</c:v>
                </c:pt>
                <c:pt idx="48">
                  <c:v>43.024999999999999</c:v>
                </c:pt>
                <c:pt idx="56">
                  <c:v>47.793999999999997</c:v>
                </c:pt>
                <c:pt idx="64">
                  <c:v>38.567</c:v>
                </c:pt>
                <c:pt idx="72">
                  <c:v>44.835000000000001</c:v>
                </c:pt>
                <c:pt idx="80">
                  <c:v>45.82</c:v>
                </c:pt>
                <c:pt idx="88">
                  <c:v>50.981999999999999</c:v>
                </c:pt>
                <c:pt idx="96">
                  <c:v>60.412999999999997</c:v>
                </c:pt>
                <c:pt idx="104">
                  <c:v>46.45</c:v>
                </c:pt>
                <c:pt idx="112">
                  <c:v>52.402000000000001</c:v>
                </c:pt>
                <c:pt idx="120">
                  <c:v>61.32</c:v>
                </c:pt>
                <c:pt idx="128">
                  <c:v>66.438000000000002</c:v>
                </c:pt>
                <c:pt idx="136">
                  <c:v>45.204999999999998</c:v>
                </c:pt>
                <c:pt idx="144">
                  <c:v>73.724000000000004</c:v>
                </c:pt>
                <c:pt idx="152">
                  <c:v>55.637999999999998</c:v>
                </c:pt>
                <c:pt idx="160">
                  <c:v>70.896000000000001</c:v>
                </c:pt>
                <c:pt idx="168">
                  <c:v>64.233000000000004</c:v>
                </c:pt>
                <c:pt idx="176">
                  <c:v>53.316000000000003</c:v>
                </c:pt>
                <c:pt idx="184">
                  <c:v>49.051000000000002</c:v>
                </c:pt>
                <c:pt idx="192">
                  <c:v>42.679000000000002</c:v>
                </c:pt>
                <c:pt idx="200">
                  <c:v>55.247999999999998</c:v>
                </c:pt>
                <c:pt idx="208">
                  <c:v>60.106000000000002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00-43E6-8BB9-38ABDE9B0DBD}"/>
            </c:ext>
          </c:extLst>
        </c:ser>
        <c:ser>
          <c:idx val="1"/>
          <c:order val="1"/>
          <c:tx>
            <c:v>Кв_кр**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4.2968718398309777E-2"/>
                  <c:y val="-8.525651977345973E-2"/>
                </c:manualLayout>
              </c:layout>
              <c:numFmt formatCode="General" sourceLinked="0"/>
              <c:spPr>
                <a:solidFill>
                  <a:schemeClr val="accent2">
                    <a:lumMod val="60000"/>
                    <a:lumOff val="4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ОФП!$F$2:$F$217</c:f>
              <c:numCache>
                <c:formatCode>0</c:formatCode>
                <c:ptCount val="216"/>
                <c:pt idx="0">
                  <c:v>248.75167198331815</c:v>
                </c:pt>
                <c:pt idx="8">
                  <c:v>74.289985671873552</c:v>
                </c:pt>
                <c:pt idx="16">
                  <c:v>97.290675619614504</c:v>
                </c:pt>
                <c:pt idx="24">
                  <c:v>65.412874958396884</c:v>
                </c:pt>
                <c:pt idx="32">
                  <c:v>49.964911434021062</c:v>
                </c:pt>
                <c:pt idx="40">
                  <c:v>446.40001346890602</c:v>
                </c:pt>
                <c:pt idx="48">
                  <c:v>293.18431165839678</c:v>
                </c:pt>
                <c:pt idx="56">
                  <c:v>275.18118309719409</c:v>
                </c:pt>
                <c:pt idx="64">
                  <c:v>795.22141329444753</c:v>
                </c:pt>
                <c:pt idx="72">
                  <c:v>183.95420561234849</c:v>
                </c:pt>
                <c:pt idx="80">
                  <c:v>227.45800241753238</c:v>
                </c:pt>
                <c:pt idx="88">
                  <c:v>83.54512341631748</c:v>
                </c:pt>
                <c:pt idx="96">
                  <c:v>61.312337447135924</c:v>
                </c:pt>
                <c:pt idx="104">
                  <c:v>230.65734242964271</c:v>
                </c:pt>
                <c:pt idx="112">
                  <c:v>95.075672121604214</c:v>
                </c:pt>
                <c:pt idx="120">
                  <c:v>61.056701206760451</c:v>
                </c:pt>
                <c:pt idx="128">
                  <c:v>48.235771737599954</c:v>
                </c:pt>
                <c:pt idx="136">
                  <c:v>532.18746139804023</c:v>
                </c:pt>
                <c:pt idx="144">
                  <c:v>5.415081042671031</c:v>
                </c:pt>
                <c:pt idx="152">
                  <c:v>48.069905473668086</c:v>
                </c:pt>
                <c:pt idx="160">
                  <c:v>6.2641291518623952</c:v>
                </c:pt>
                <c:pt idx="168">
                  <c:v>32.790119076216868</c:v>
                </c:pt>
                <c:pt idx="176">
                  <c:v>76.31900889998262</c:v>
                </c:pt>
                <c:pt idx="184">
                  <c:v>144.57889923586231</c:v>
                </c:pt>
                <c:pt idx="192">
                  <c:v>346.91586186750811</c:v>
                </c:pt>
                <c:pt idx="200">
                  <c:v>65.079308286164476</c:v>
                </c:pt>
                <c:pt idx="208">
                  <c:v>53.70989131396297</c:v>
                </c:pt>
              </c:numCache>
            </c:numRef>
          </c:xVal>
          <c:yVal>
            <c:numRef>
              <c:f>ОФП!$M$2:$M$217</c:f>
              <c:numCache>
                <c:formatCode>0.00</c:formatCode>
                <c:ptCount val="216"/>
                <c:pt idx="0">
                  <c:v>46.094000000000001</c:v>
                </c:pt>
                <c:pt idx="8">
                  <c:v>56.457000000000001</c:v>
                </c:pt>
                <c:pt idx="16">
                  <c:v>58.628999999999998</c:v>
                </c:pt>
                <c:pt idx="24">
                  <c:v>54.847999999999999</c:v>
                </c:pt>
                <c:pt idx="32">
                  <c:v>63.261000000000003</c:v>
                </c:pt>
                <c:pt idx="40">
                  <c:v>43.292000000000002</c:v>
                </c:pt>
                <c:pt idx="48">
                  <c:v>47.926000000000002</c:v>
                </c:pt>
                <c:pt idx="56">
                  <c:v>52.207000000000001</c:v>
                </c:pt>
                <c:pt idx="64">
                  <c:v>43.27</c:v>
                </c:pt>
                <c:pt idx="72">
                  <c:v>49.494</c:v>
                </c:pt>
                <c:pt idx="80">
                  <c:v>51.186</c:v>
                </c:pt>
                <c:pt idx="88">
                  <c:v>54.384</c:v>
                </c:pt>
                <c:pt idx="96">
                  <c:v>62.820999999999998</c:v>
                </c:pt>
                <c:pt idx="104">
                  <c:v>50.747</c:v>
                </c:pt>
                <c:pt idx="112">
                  <c:v>56.609000000000002</c:v>
                </c:pt>
                <c:pt idx="120">
                  <c:v>64.451999999999998</c:v>
                </c:pt>
                <c:pt idx="128">
                  <c:v>68.412000000000006</c:v>
                </c:pt>
                <c:pt idx="136">
                  <c:v>50.996000000000002</c:v>
                </c:pt>
                <c:pt idx="144">
                  <c:v>74.536000000000001</c:v>
                </c:pt>
                <c:pt idx="152">
                  <c:v>59.204999999999998</c:v>
                </c:pt>
                <c:pt idx="160">
                  <c:v>72.106999999999999</c:v>
                </c:pt>
                <c:pt idx="168">
                  <c:v>66.715000000000003</c:v>
                </c:pt>
                <c:pt idx="176">
                  <c:v>57.311999999999998</c:v>
                </c:pt>
                <c:pt idx="184">
                  <c:v>53.075000000000003</c:v>
                </c:pt>
                <c:pt idx="192">
                  <c:v>47.276000000000003</c:v>
                </c:pt>
                <c:pt idx="200">
                  <c:v>58.2</c:v>
                </c:pt>
                <c:pt idx="208">
                  <c:v>63.334000000000003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00-43E6-8BB9-38ABDE9B0DBD}"/>
            </c:ext>
          </c:extLst>
        </c:ser>
        <c:ser>
          <c:idx val="2"/>
          <c:order val="2"/>
          <c:tx>
            <c:v>Кв**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2.156226101094982E-3"/>
                  <c:y val="-9.2110545435954289E-2"/>
                </c:manualLayout>
              </c:layout>
              <c:numFmt formatCode="General" sourceLinked="0"/>
              <c:spPr>
                <a:solidFill>
                  <a:schemeClr val="accent3">
                    <a:lumMod val="60000"/>
                    <a:lumOff val="4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ОФП!$F$2:$F$217</c:f>
              <c:numCache>
                <c:formatCode>0</c:formatCode>
                <c:ptCount val="216"/>
                <c:pt idx="0">
                  <c:v>248.75167198331815</c:v>
                </c:pt>
                <c:pt idx="8">
                  <c:v>74.289985671873552</c:v>
                </c:pt>
                <c:pt idx="16">
                  <c:v>97.290675619614504</c:v>
                </c:pt>
                <c:pt idx="24">
                  <c:v>65.412874958396884</c:v>
                </c:pt>
                <c:pt idx="32">
                  <c:v>49.964911434021062</c:v>
                </c:pt>
                <c:pt idx="40">
                  <c:v>446.40001346890602</c:v>
                </c:pt>
                <c:pt idx="48">
                  <c:v>293.18431165839678</c:v>
                </c:pt>
                <c:pt idx="56">
                  <c:v>275.18118309719409</c:v>
                </c:pt>
                <c:pt idx="64">
                  <c:v>795.22141329444753</c:v>
                </c:pt>
                <c:pt idx="72">
                  <c:v>183.95420561234849</c:v>
                </c:pt>
                <c:pt idx="80">
                  <c:v>227.45800241753238</c:v>
                </c:pt>
                <c:pt idx="88">
                  <c:v>83.54512341631748</c:v>
                </c:pt>
                <c:pt idx="96">
                  <c:v>61.312337447135924</c:v>
                </c:pt>
                <c:pt idx="104">
                  <c:v>230.65734242964271</c:v>
                </c:pt>
                <c:pt idx="112">
                  <c:v>95.075672121604214</c:v>
                </c:pt>
                <c:pt idx="120">
                  <c:v>61.056701206760451</c:v>
                </c:pt>
                <c:pt idx="128">
                  <c:v>48.235771737599954</c:v>
                </c:pt>
                <c:pt idx="136">
                  <c:v>532.18746139804023</c:v>
                </c:pt>
                <c:pt idx="144">
                  <c:v>5.415081042671031</c:v>
                </c:pt>
                <c:pt idx="152">
                  <c:v>48.069905473668086</c:v>
                </c:pt>
                <c:pt idx="160">
                  <c:v>6.2641291518623952</c:v>
                </c:pt>
                <c:pt idx="168">
                  <c:v>32.790119076216868</c:v>
                </c:pt>
                <c:pt idx="176">
                  <c:v>76.31900889998262</c:v>
                </c:pt>
                <c:pt idx="184">
                  <c:v>144.57889923586231</c:v>
                </c:pt>
                <c:pt idx="192">
                  <c:v>346.91586186750811</c:v>
                </c:pt>
                <c:pt idx="200">
                  <c:v>65.079308286164476</c:v>
                </c:pt>
                <c:pt idx="208">
                  <c:v>53.70989131396297</c:v>
                </c:pt>
              </c:numCache>
            </c:numRef>
          </c:xVal>
          <c:yVal>
            <c:numRef>
              <c:f>ОФП!$N$2:$N$217</c:f>
              <c:numCache>
                <c:formatCode>0.0</c:formatCode>
                <c:ptCount val="216"/>
                <c:pt idx="0">
                  <c:v>63.725000000000001</c:v>
                </c:pt>
                <c:pt idx="8">
                  <c:v>67.988</c:v>
                </c:pt>
                <c:pt idx="16">
                  <c:v>68.138000000000005</c:v>
                </c:pt>
                <c:pt idx="24">
                  <c:v>67.287000000000006</c:v>
                </c:pt>
                <c:pt idx="32">
                  <c:v>70.061999999999998</c:v>
                </c:pt>
                <c:pt idx="40">
                  <c:v>60.680999999999997</c:v>
                </c:pt>
                <c:pt idx="48">
                  <c:v>61.225000000000001</c:v>
                </c:pt>
                <c:pt idx="56">
                  <c:v>65.471999999999994</c:v>
                </c:pt>
                <c:pt idx="64">
                  <c:v>61.546999999999997</c:v>
                </c:pt>
                <c:pt idx="72">
                  <c:v>64.956000000000003</c:v>
                </c:pt>
                <c:pt idx="80">
                  <c:v>65.305999999999997</c:v>
                </c:pt>
                <c:pt idx="88">
                  <c:v>63.792000000000002</c:v>
                </c:pt>
                <c:pt idx="96">
                  <c:v>69.099000000000004</c:v>
                </c:pt>
                <c:pt idx="104">
                  <c:v>63.744</c:v>
                </c:pt>
                <c:pt idx="112">
                  <c:v>65.884</c:v>
                </c:pt>
                <c:pt idx="120">
                  <c:v>72.078999999999994</c:v>
                </c:pt>
                <c:pt idx="128">
                  <c:v>72.832999999999998</c:v>
                </c:pt>
                <c:pt idx="136">
                  <c:v>63.726999999999997</c:v>
                </c:pt>
                <c:pt idx="144">
                  <c:v>77.269000000000005</c:v>
                </c:pt>
                <c:pt idx="152">
                  <c:v>67.474999999999994</c:v>
                </c:pt>
                <c:pt idx="160">
                  <c:v>75.671000000000006</c:v>
                </c:pt>
                <c:pt idx="168">
                  <c:v>71.010999999999996</c:v>
                </c:pt>
                <c:pt idx="176">
                  <c:v>65.998999999999995</c:v>
                </c:pt>
                <c:pt idx="184">
                  <c:v>63.042000000000002</c:v>
                </c:pt>
                <c:pt idx="192">
                  <c:v>63.188000000000002</c:v>
                </c:pt>
                <c:pt idx="200">
                  <c:v>65.650999999999996</c:v>
                </c:pt>
                <c:pt idx="208">
                  <c:v>69.555999999999997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00-43E6-8BB9-38ABDE9B0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81295"/>
        <c:axId val="13979855"/>
      </c:scatterChart>
      <c:valAx>
        <c:axId val="13981295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Кпр, мД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79855"/>
        <c:crosses val="autoZero"/>
        <c:crossBetween val="midCat"/>
      </c:valAx>
      <c:valAx>
        <c:axId val="13979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Кв,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981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Кпр = 3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аппроксимации'!$F$102:$O$102</c:f>
              <c:numCache>
                <c:formatCode>General</c:formatCode>
                <c:ptCount val="10"/>
                <c:pt idx="0">
                  <c:v>99.992660681707235</c:v>
                </c:pt>
                <c:pt idx="1">
                  <c:v>99.641180855049654</c:v>
                </c:pt>
                <c:pt idx="2">
                  <c:v>99.262807723633131</c:v>
                </c:pt>
                <c:pt idx="3">
                  <c:v>98.449754336478264</c:v>
                </c:pt>
                <c:pt idx="4">
                  <c:v>96.904758027049283</c:v>
                </c:pt>
                <c:pt idx="5">
                  <c:v>94.261913633631508</c:v>
                </c:pt>
                <c:pt idx="6">
                  <c:v>90.468718788413696</c:v>
                </c:pt>
                <c:pt idx="7">
                  <c:v>86.216418394380796</c:v>
                </c:pt>
                <c:pt idx="8">
                  <c:v>82.48452568401423</c:v>
                </c:pt>
                <c:pt idx="9">
                  <c:v>79.986289788101317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51-41B8-8EEF-BF78EE90BBB3}"/>
            </c:ext>
          </c:extLst>
        </c:ser>
        <c:ser>
          <c:idx val="1"/>
          <c:order val="1"/>
          <c:tx>
            <c:v>Кпр=10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аппроксимации'!$F$103:$O$103</c:f>
              <c:numCache>
                <c:formatCode>General</c:formatCode>
                <c:ptCount val="10"/>
                <c:pt idx="0">
                  <c:v>99.981467755376272</c:v>
                </c:pt>
                <c:pt idx="1">
                  <c:v>99.103596710477404</c:v>
                </c:pt>
                <c:pt idx="2">
                  <c:v>98.179194008253091</c:v>
                </c:pt>
                <c:pt idx="3">
                  <c:v>96.261956002259552</c:v>
                </c:pt>
                <c:pt idx="4">
                  <c:v>92.858856173443016</c:v>
                </c:pt>
                <c:pt idx="5">
                  <c:v>87.672076453098597</c:v>
                </c:pt>
                <c:pt idx="6">
                  <c:v>81.362623993486537</c:v>
                </c:pt>
                <c:pt idx="7">
                  <c:v>75.514182811108611</c:v>
                </c:pt>
                <c:pt idx="8">
                  <c:v>71.197850732823781</c:v>
                </c:pt>
                <c:pt idx="9">
                  <c:v>68.649983520984549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51-41B8-8EEF-BF78EE90BBB3}"/>
            </c:ext>
          </c:extLst>
        </c:ser>
        <c:ser>
          <c:idx val="2"/>
          <c:order val="2"/>
          <c:tx>
            <c:v>Кпр=20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аппроксимации'!$F$104:$O$104</c:f>
              <c:numCache>
                <c:formatCode>General</c:formatCode>
                <c:ptCount val="10"/>
                <c:pt idx="0">
                  <c:v>99.970117156217583</c:v>
                </c:pt>
                <c:pt idx="1">
                  <c:v>98.567784376145994</c:v>
                </c:pt>
                <c:pt idx="2">
                  <c:v>97.118573804260109</c:v>
                </c:pt>
                <c:pt idx="3">
                  <c:v>94.199265933284735</c:v>
                </c:pt>
                <c:pt idx="4">
                  <c:v>89.287079663191051</c:v>
                </c:pt>
                <c:pt idx="5">
                  <c:v>82.398774743343679</c:v>
                </c:pt>
                <c:pt idx="6">
                  <c:v>74.866297224178027</c:v>
                </c:pt>
                <c:pt idx="7">
                  <c:v>68.593914757006416</c:v>
                </c:pt>
                <c:pt idx="8">
                  <c:v>64.344410462592137</c:v>
                </c:pt>
                <c:pt idx="9">
                  <c:v>61.972134630671995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351-41B8-8EEF-BF78EE90BBB3}"/>
            </c:ext>
          </c:extLst>
        </c:ser>
        <c:ser>
          <c:idx val="3"/>
          <c:order val="3"/>
          <c:tx>
            <c:v>Кпр=50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аппроксимации'!$F$105:$O$105</c:f>
              <c:numCache>
                <c:formatCode>General</c:formatCode>
                <c:ptCount val="10"/>
                <c:pt idx="0">
                  <c:v>99.945894920428117</c:v>
                </c:pt>
                <c:pt idx="1">
                  <c:v>97.450899654621892</c:v>
                </c:pt>
                <c:pt idx="2">
                  <c:v>94.959990681375928</c:v>
                </c:pt>
                <c:pt idx="3">
                  <c:v>90.194352679339701</c:v>
                </c:pt>
                <c:pt idx="4">
                  <c:v>82.859017130314285</c:v>
                </c:pt>
                <c:pt idx="5">
                  <c:v>73.801864337487544</c:v>
                </c:pt>
                <c:pt idx="6">
                  <c:v>65.241457326368334</c:v>
                </c:pt>
                <c:pt idx="7">
                  <c:v>58.987344680295408</c:v>
                </c:pt>
                <c:pt idx="8">
                  <c:v>55.131881191852138</c:v>
                </c:pt>
                <c:pt idx="9">
                  <c:v>53.099158619771764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351-41B8-8EEF-BF78EE90BBB3}"/>
            </c:ext>
          </c:extLst>
        </c:ser>
        <c:ser>
          <c:idx val="4"/>
          <c:order val="4"/>
          <c:tx>
            <c:v>Кпр=200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аппроксимации'!$F$106:$O$106</c:f>
              <c:numCache>
                <c:formatCode>General</c:formatCode>
                <c:ptCount val="10"/>
                <c:pt idx="0">
                  <c:v>99.874319240645619</c:v>
                </c:pt>
                <c:pt idx="1">
                  <c:v>94.322775504089989</c:v>
                </c:pt>
                <c:pt idx="2">
                  <c:v>89.218837431482868</c:v>
                </c:pt>
                <c:pt idx="3">
                  <c:v>80.499302211399282</c:v>
                </c:pt>
                <c:pt idx="4">
                  <c:v>69.240116558998253</c:v>
                </c:pt>
                <c:pt idx="5">
                  <c:v>58.045368268484246</c:v>
                </c:pt>
                <c:pt idx="6">
                  <c:v>49.474682321735635</c:v>
                </c:pt>
                <c:pt idx="7">
                  <c:v>44.150150060217285</c:v>
                </c:pt>
                <c:pt idx="8">
                  <c:v>41.190398629068866</c:v>
                </c:pt>
                <c:pt idx="9">
                  <c:v>39.717533390904563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351-41B8-8EEF-BF78EE90BBB3}"/>
            </c:ext>
          </c:extLst>
        </c:ser>
        <c:ser>
          <c:idx val="5"/>
          <c:order val="5"/>
          <c:tx>
            <c:v>Кпр=500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аппроксимации'!$F$107:$O$107</c:f>
              <c:numCache>
                <c:formatCode>General</c:formatCode>
                <c:ptCount val="10"/>
                <c:pt idx="0">
                  <c:v>99.786161872078182</c:v>
                </c:pt>
                <c:pt idx="1">
                  <c:v>90.75456339260397</c:v>
                </c:pt>
                <c:pt idx="2">
                  <c:v>83.108350968145359</c:v>
                </c:pt>
                <c:pt idx="3">
                  <c:v>71.305290941843012</c:v>
                </c:pt>
                <c:pt idx="4">
                  <c:v>58.033931797696098</c:v>
                </c:pt>
                <c:pt idx="5">
                  <c:v>46.625532173872692</c:v>
                </c:pt>
                <c:pt idx="6">
                  <c:v>38.881319026789264</c:v>
                </c:pt>
                <c:pt idx="7">
                  <c:v>34.44225367077118</c:v>
                </c:pt>
                <c:pt idx="8">
                  <c:v>32.086621393720819</c:v>
                </c:pt>
                <c:pt idx="9">
                  <c:v>30.942604479940027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351-41B8-8EEF-BF78EE90BBB3}"/>
            </c:ext>
          </c:extLst>
        </c:ser>
        <c:ser>
          <c:idx val="7"/>
          <c:order val="7"/>
          <c:tx>
            <c:v>Кв*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ОФП!$U$40:$U$44</c:f>
              <c:numCache>
                <c:formatCode>General</c:formatCode>
                <c:ptCount val="5"/>
                <c:pt idx="0">
                  <c:v>70.240404995105138</c:v>
                </c:pt>
                <c:pt idx="1">
                  <c:v>64.986349366460757</c:v>
                </c:pt>
                <c:pt idx="2">
                  <c:v>58.040865618854653</c:v>
                </c:pt>
                <c:pt idx="3">
                  <c:v>47.532754361565885</c:v>
                </c:pt>
                <c:pt idx="4">
                  <c:v>40.587270613959788</c:v>
                </c:pt>
              </c:numCache>
            </c:numRef>
          </c:xVal>
          <c:yVal>
            <c:numRef>
              <c:f>ОФП!$Y$40:$Y$44</c:f>
              <c:numCache>
                <c:formatCode>General</c:formatCode>
                <c:ptCount val="5"/>
                <c:pt idx="0">
                  <c:v>0.82795633894752907</c:v>
                </c:pt>
                <c:pt idx="1">
                  <c:v>0.63140643561036136</c:v>
                </c:pt>
                <c:pt idx="2">
                  <c:v>0.45212314456593272</c:v>
                </c:pt>
                <c:pt idx="3">
                  <c:v>0.28016452918563378</c:v>
                </c:pt>
                <c:pt idx="4">
                  <c:v>0.20615991299141265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351-41B8-8EEF-BF78EE90BBB3}"/>
            </c:ext>
          </c:extLst>
        </c:ser>
        <c:ser>
          <c:idx val="8"/>
          <c:order val="8"/>
          <c:tx>
            <c:v>Кв**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ОФП!$V$40:$V$44</c:f>
              <c:numCache>
                <c:formatCode>General</c:formatCode>
                <c:ptCount val="5"/>
                <c:pt idx="0">
                  <c:v>74.388782937211388</c:v>
                </c:pt>
                <c:pt idx="1">
                  <c:v>72.131895717308197</c:v>
                </c:pt>
                <c:pt idx="2">
                  <c:v>69.148453094325959</c:v>
                </c:pt>
                <c:pt idx="3">
                  <c:v>64.63467865451959</c:v>
                </c:pt>
                <c:pt idx="4">
                  <c:v>61.651236031537337</c:v>
                </c:pt>
              </c:numCache>
            </c:numRef>
          </c:xVal>
          <c:yVal>
            <c:numRef>
              <c:f>ОФП!$AB$40:$AB$44</c:f>
              <c:numCache>
                <c:formatCode>General</c:formatCode>
                <c:ptCount val="5"/>
                <c:pt idx="0">
                  <c:v>0.4583697071468682</c:v>
                </c:pt>
                <c:pt idx="1">
                  <c:v>0.29465425342613427</c:v>
                </c:pt>
                <c:pt idx="2">
                  <c:v>0.18379885501405019</c:v>
                </c:pt>
                <c:pt idx="3">
                  <c:v>0.10030092647865867</c:v>
                </c:pt>
                <c:pt idx="4">
                  <c:v>6.9725200879138513E-2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351-41B8-8EEF-BF78EE90BBB3}"/>
            </c:ext>
          </c:extLst>
        </c:ser>
        <c:ser>
          <c:idx val="9"/>
          <c:order val="9"/>
          <c:tx>
            <c:v>Кв. кр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ОФП!$W$40:$W$44</c:f>
              <c:numCache>
                <c:formatCode>General</c:formatCode>
                <c:ptCount val="5"/>
                <c:pt idx="0">
                  <c:v>71.758794439658402</c:v>
                </c:pt>
                <c:pt idx="1">
                  <c:v>67.172239545893248</c:v>
                </c:pt>
                <c:pt idx="2">
                  <c:v>61.109143773081968</c:v>
                </c:pt>
                <c:pt idx="3">
                  <c:v>51.936033985551646</c:v>
                </c:pt>
                <c:pt idx="4">
                  <c:v>45.872938212740365</c:v>
                </c:pt>
              </c:numCache>
            </c:numRef>
          </c:xVal>
          <c:yVal>
            <c:numRef>
              <c:f>ОФП!$X$40:$X$44</c:f>
              <c:numCache>
                <c:formatCode>General</c:formatCode>
                <c:ptCount val="5"/>
                <c:pt idx="0">
                  <c:v>0.64181710260403524</c:v>
                </c:pt>
                <c:pt idx="1">
                  <c:v>0.47345578403101779</c:v>
                </c:pt>
                <c:pt idx="2">
                  <c:v>0.32980168321427716</c:v>
                </c:pt>
                <c:pt idx="3">
                  <c:v>0.19929663917939686</c:v>
                </c:pt>
                <c:pt idx="4">
                  <c:v>0.1450547333154808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351-41B8-8EEF-BF78EE90B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75119"/>
        <c:axId val="117334943"/>
      </c:scatterChart>
      <c:scatterChart>
        <c:scatterStyle val="smoothMarker"/>
        <c:varyColors val="0"/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4351-41B8-8EEF-BF78EE90B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025919"/>
        <c:axId val="116021119"/>
      </c:scatterChart>
      <c:valAx>
        <c:axId val="115475119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Кв,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7334943"/>
        <c:crossesAt val="1.0000000000000002E-3"/>
        <c:crossBetween val="midCat"/>
      </c:valAx>
      <c:valAx>
        <c:axId val="1173349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Рк лаб, Мпа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5475119"/>
        <c:crosses val="autoZero"/>
        <c:crossBetween val="midCat"/>
      </c:valAx>
      <c:valAx>
        <c:axId val="116021119"/>
        <c:scaling>
          <c:logBase val="10"/>
          <c:orientation val="minMax"/>
          <c:max val="158"/>
          <c:min val="0.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r>
                  <a:rPr lang="ru-RU"/>
                  <a:t>зчв,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6025919"/>
        <c:crosses val="max"/>
        <c:crossBetween val="midCat"/>
      </c:valAx>
      <c:valAx>
        <c:axId val="116025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602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0482813169075837E-2"/>
          <c:y val="0.18589459397028041"/>
          <c:w val="0.87742814775379507"/>
          <c:h val="0.7273473466201740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1.722037198945579E-2"/>
                  <c:y val="8.68904262956379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ОФП!$P$40:$P$44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50</c:v>
                </c:pt>
                <c:pt idx="3">
                  <c:v>200</c:v>
                </c:pt>
                <c:pt idx="4">
                  <c:v>500</c:v>
                </c:pt>
              </c:numCache>
            </c:numRef>
          </c:xVal>
          <c:yVal>
            <c:numRef>
              <c:f>ОФП!$AD$40:$AD$44</c:f>
              <c:numCache>
                <c:formatCode>General</c:formatCode>
                <c:ptCount val="5"/>
                <c:pt idx="0">
                  <c:v>59.85756015341147</c:v>
                </c:pt>
                <c:pt idx="1">
                  <c:v>38.478294756206793</c:v>
                </c:pt>
                <c:pt idx="2">
                  <c:v>24.001915590391629</c:v>
                </c:pt>
                <c:pt idx="3">
                  <c:v>13.098092318337955</c:v>
                </c:pt>
                <c:pt idx="4">
                  <c:v>9.1052710088768087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BD-4C56-B26C-C1D267573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853471"/>
        <c:axId val="1609852031"/>
      </c:scatterChart>
      <c:valAx>
        <c:axId val="160985347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9852031"/>
        <c:crosses val="autoZero"/>
        <c:crossBetween val="midCat"/>
      </c:valAx>
      <c:valAx>
        <c:axId val="1609852031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09853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Кпр = 3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аппроксимации'!$F$102:$O$102</c:f>
              <c:numCache>
                <c:formatCode>General</c:formatCode>
                <c:ptCount val="10"/>
                <c:pt idx="0">
                  <c:v>99.992660681707235</c:v>
                </c:pt>
                <c:pt idx="1">
                  <c:v>99.641180855049654</c:v>
                </c:pt>
                <c:pt idx="2">
                  <c:v>99.262807723633131</c:v>
                </c:pt>
                <c:pt idx="3">
                  <c:v>98.449754336478264</c:v>
                </c:pt>
                <c:pt idx="4">
                  <c:v>96.904758027049283</c:v>
                </c:pt>
                <c:pt idx="5">
                  <c:v>94.261913633631508</c:v>
                </c:pt>
                <c:pt idx="6">
                  <c:v>90.468718788413696</c:v>
                </c:pt>
                <c:pt idx="7">
                  <c:v>86.216418394380796</c:v>
                </c:pt>
                <c:pt idx="8">
                  <c:v>82.48452568401423</c:v>
                </c:pt>
                <c:pt idx="9">
                  <c:v>79.986289788101317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D9-4B09-BEC6-AFEF71FCCDC9}"/>
            </c:ext>
          </c:extLst>
        </c:ser>
        <c:ser>
          <c:idx val="1"/>
          <c:order val="1"/>
          <c:tx>
            <c:v>Кпр=10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аппроксимации'!$F$103:$O$103</c:f>
              <c:numCache>
                <c:formatCode>General</c:formatCode>
                <c:ptCount val="10"/>
                <c:pt idx="0">
                  <c:v>99.981467755376272</c:v>
                </c:pt>
                <c:pt idx="1">
                  <c:v>99.103596710477404</c:v>
                </c:pt>
                <c:pt idx="2">
                  <c:v>98.179194008253091</c:v>
                </c:pt>
                <c:pt idx="3">
                  <c:v>96.261956002259552</c:v>
                </c:pt>
                <c:pt idx="4">
                  <c:v>92.858856173443016</c:v>
                </c:pt>
                <c:pt idx="5">
                  <c:v>87.672076453098597</c:v>
                </c:pt>
                <c:pt idx="6">
                  <c:v>81.362623993486537</c:v>
                </c:pt>
                <c:pt idx="7">
                  <c:v>75.514182811108611</c:v>
                </c:pt>
                <c:pt idx="8">
                  <c:v>71.197850732823781</c:v>
                </c:pt>
                <c:pt idx="9">
                  <c:v>68.649983520984549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D9-4B09-BEC6-AFEF71FCCDC9}"/>
            </c:ext>
          </c:extLst>
        </c:ser>
        <c:ser>
          <c:idx val="2"/>
          <c:order val="2"/>
          <c:tx>
            <c:v>Кпр=20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аппроксимации'!$F$104:$O$104</c:f>
              <c:numCache>
                <c:formatCode>General</c:formatCode>
                <c:ptCount val="10"/>
                <c:pt idx="0">
                  <c:v>99.970117156217583</c:v>
                </c:pt>
                <c:pt idx="1">
                  <c:v>98.567784376145994</c:v>
                </c:pt>
                <c:pt idx="2">
                  <c:v>97.118573804260109</c:v>
                </c:pt>
                <c:pt idx="3">
                  <c:v>94.199265933284735</c:v>
                </c:pt>
                <c:pt idx="4">
                  <c:v>89.287079663191051</c:v>
                </c:pt>
                <c:pt idx="5">
                  <c:v>82.398774743343679</c:v>
                </c:pt>
                <c:pt idx="6">
                  <c:v>74.866297224178027</c:v>
                </c:pt>
                <c:pt idx="7">
                  <c:v>68.593914757006416</c:v>
                </c:pt>
                <c:pt idx="8">
                  <c:v>64.344410462592137</c:v>
                </c:pt>
                <c:pt idx="9">
                  <c:v>61.972134630671995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D9-4B09-BEC6-AFEF71FCCDC9}"/>
            </c:ext>
          </c:extLst>
        </c:ser>
        <c:ser>
          <c:idx val="3"/>
          <c:order val="3"/>
          <c:tx>
            <c:v>Кпр=50</c:v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аппроксимации'!$F$105:$O$105</c:f>
              <c:numCache>
                <c:formatCode>General</c:formatCode>
                <c:ptCount val="10"/>
                <c:pt idx="0">
                  <c:v>99.945894920428117</c:v>
                </c:pt>
                <c:pt idx="1">
                  <c:v>97.450899654621892</c:v>
                </c:pt>
                <c:pt idx="2">
                  <c:v>94.959990681375928</c:v>
                </c:pt>
                <c:pt idx="3">
                  <c:v>90.194352679339701</c:v>
                </c:pt>
                <c:pt idx="4">
                  <c:v>82.859017130314285</c:v>
                </c:pt>
                <c:pt idx="5">
                  <c:v>73.801864337487544</c:v>
                </c:pt>
                <c:pt idx="6">
                  <c:v>65.241457326368334</c:v>
                </c:pt>
                <c:pt idx="7">
                  <c:v>58.987344680295408</c:v>
                </c:pt>
                <c:pt idx="8">
                  <c:v>55.131881191852138</c:v>
                </c:pt>
                <c:pt idx="9">
                  <c:v>53.099158619771764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D9-4B09-BEC6-AFEF71FCCDC9}"/>
            </c:ext>
          </c:extLst>
        </c:ser>
        <c:ser>
          <c:idx val="4"/>
          <c:order val="4"/>
          <c:tx>
            <c:v>Кпр=200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аппроксимации'!$F$106:$O$106</c:f>
              <c:numCache>
                <c:formatCode>General</c:formatCode>
                <c:ptCount val="10"/>
                <c:pt idx="0">
                  <c:v>99.874319240645619</c:v>
                </c:pt>
                <c:pt idx="1">
                  <c:v>94.322775504089989</c:v>
                </c:pt>
                <c:pt idx="2">
                  <c:v>89.218837431482868</c:v>
                </c:pt>
                <c:pt idx="3">
                  <c:v>80.499302211399282</c:v>
                </c:pt>
                <c:pt idx="4">
                  <c:v>69.240116558998253</c:v>
                </c:pt>
                <c:pt idx="5">
                  <c:v>58.045368268484246</c:v>
                </c:pt>
                <c:pt idx="6">
                  <c:v>49.474682321735635</c:v>
                </c:pt>
                <c:pt idx="7">
                  <c:v>44.150150060217285</c:v>
                </c:pt>
                <c:pt idx="8">
                  <c:v>41.190398629068866</c:v>
                </c:pt>
                <c:pt idx="9">
                  <c:v>39.717533390904563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D9-4B09-BEC6-AFEF71FCCDC9}"/>
            </c:ext>
          </c:extLst>
        </c:ser>
        <c:ser>
          <c:idx val="5"/>
          <c:order val="5"/>
          <c:tx>
            <c:v>Кпр=500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'Для аппроксимации'!$F$107:$O$107</c:f>
              <c:numCache>
                <c:formatCode>General</c:formatCode>
                <c:ptCount val="10"/>
                <c:pt idx="0">
                  <c:v>99.786161872078182</c:v>
                </c:pt>
                <c:pt idx="1">
                  <c:v>90.75456339260397</c:v>
                </c:pt>
                <c:pt idx="2">
                  <c:v>83.108350968145359</c:v>
                </c:pt>
                <c:pt idx="3">
                  <c:v>71.305290941843012</c:v>
                </c:pt>
                <c:pt idx="4">
                  <c:v>58.033931797696098</c:v>
                </c:pt>
                <c:pt idx="5">
                  <c:v>46.625532173872692</c:v>
                </c:pt>
                <c:pt idx="6">
                  <c:v>38.881319026789264</c:v>
                </c:pt>
                <c:pt idx="7">
                  <c:v>34.44225367077118</c:v>
                </c:pt>
                <c:pt idx="8">
                  <c:v>32.086621393720819</c:v>
                </c:pt>
                <c:pt idx="9">
                  <c:v>30.942604479940027</c:v>
                </c:pt>
              </c:numCache>
            </c:numRef>
          </c:xVal>
          <c:yVal>
            <c:numRef>
              <c:f>'Для аппроксимации'!$F$98:$O$98</c:f>
              <c:numCache>
                <c:formatCode>General</c:formatCode>
                <c:ptCount val="10"/>
                <c:pt idx="0">
                  <c:v>1E-3</c:v>
                </c:pt>
                <c:pt idx="1">
                  <c:v>1.6E-2</c:v>
                </c:pt>
                <c:pt idx="2">
                  <c:v>2.7000000000000003E-2</c:v>
                </c:pt>
                <c:pt idx="3">
                  <c:v>4.7E-2</c:v>
                </c:pt>
                <c:pt idx="4">
                  <c:v>8.1000000000000003E-2</c:v>
                </c:pt>
                <c:pt idx="5">
                  <c:v>0.13899999999999998</c:v>
                </c:pt>
                <c:pt idx="6">
                  <c:v>0.23799999999999999</c:v>
                </c:pt>
                <c:pt idx="7">
                  <c:v>0.40599999999999997</c:v>
                </c:pt>
                <c:pt idx="8">
                  <c:v>0.7</c:v>
                </c:pt>
                <c:pt idx="9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2D9-4B09-BEC6-AFEF71FCCDC9}"/>
            </c:ext>
          </c:extLst>
        </c:ser>
        <c:ser>
          <c:idx val="7"/>
          <c:order val="7"/>
          <c:tx>
            <c:v>Кв*</c:v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none"/>
          </c:marker>
          <c:xVal>
            <c:numRef>
              <c:f>ОФП!$U$40:$U$44</c:f>
              <c:numCache>
                <c:formatCode>General</c:formatCode>
                <c:ptCount val="5"/>
                <c:pt idx="0">
                  <c:v>70.240404995105138</c:v>
                </c:pt>
                <c:pt idx="1">
                  <c:v>64.986349366460757</c:v>
                </c:pt>
                <c:pt idx="2">
                  <c:v>58.040865618854653</c:v>
                </c:pt>
                <c:pt idx="3">
                  <c:v>47.532754361565885</c:v>
                </c:pt>
                <c:pt idx="4">
                  <c:v>40.587270613959788</c:v>
                </c:pt>
              </c:numCache>
            </c:numRef>
          </c:xVal>
          <c:yVal>
            <c:numRef>
              <c:f>ОФП!$Y$40:$Y$44</c:f>
              <c:numCache>
                <c:formatCode>General</c:formatCode>
                <c:ptCount val="5"/>
                <c:pt idx="0">
                  <c:v>0.82795633894752907</c:v>
                </c:pt>
                <c:pt idx="1">
                  <c:v>0.63140643561036136</c:v>
                </c:pt>
                <c:pt idx="2">
                  <c:v>0.45212314456593272</c:v>
                </c:pt>
                <c:pt idx="3">
                  <c:v>0.28016452918563378</c:v>
                </c:pt>
                <c:pt idx="4">
                  <c:v>0.20615991299141265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2D9-4B09-BEC6-AFEF71FCCDC9}"/>
            </c:ext>
          </c:extLst>
        </c:ser>
        <c:ser>
          <c:idx val="8"/>
          <c:order val="8"/>
          <c:tx>
            <c:v>Кв**</c:v>
          </c:tx>
          <c:spPr>
            <a:ln w="19050" cap="rnd">
              <a:solidFill>
                <a:schemeClr val="bg2">
                  <a:lumMod val="1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42D9-4B09-BEC6-AFEF71FCCDC9}"/>
              </c:ext>
            </c:extLst>
          </c:dPt>
          <c:xVal>
            <c:numRef>
              <c:f>ОФП!$V$40:$V$44</c:f>
              <c:numCache>
                <c:formatCode>General</c:formatCode>
                <c:ptCount val="5"/>
                <c:pt idx="0">
                  <c:v>74.388782937211388</c:v>
                </c:pt>
                <c:pt idx="1">
                  <c:v>72.131895717308197</c:v>
                </c:pt>
                <c:pt idx="2">
                  <c:v>69.148453094325959</c:v>
                </c:pt>
                <c:pt idx="3">
                  <c:v>64.63467865451959</c:v>
                </c:pt>
                <c:pt idx="4">
                  <c:v>61.651236031537337</c:v>
                </c:pt>
              </c:numCache>
            </c:numRef>
          </c:xVal>
          <c:yVal>
            <c:numRef>
              <c:f>ОФП!$AB$40:$AB$44</c:f>
              <c:numCache>
                <c:formatCode>General</c:formatCode>
                <c:ptCount val="5"/>
                <c:pt idx="0">
                  <c:v>0.4583697071468682</c:v>
                </c:pt>
                <c:pt idx="1">
                  <c:v>0.29465425342613427</c:v>
                </c:pt>
                <c:pt idx="2">
                  <c:v>0.18379885501405019</c:v>
                </c:pt>
                <c:pt idx="3">
                  <c:v>0.10030092647865867</c:v>
                </c:pt>
                <c:pt idx="4">
                  <c:v>6.9725200879138513E-2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2D9-4B09-BEC6-AFEF71FCCDC9}"/>
            </c:ext>
          </c:extLst>
        </c:ser>
        <c:ser>
          <c:idx val="9"/>
          <c:order val="9"/>
          <c:tx>
            <c:v>Кв. кр</c:v>
          </c:tx>
          <c:spPr>
            <a:ln w="19050" cap="rnd">
              <a:solidFill>
                <a:srgbClr val="CC0099"/>
              </a:solidFill>
              <a:round/>
            </a:ln>
            <a:effectLst/>
          </c:spPr>
          <c:marker>
            <c:symbol val="none"/>
          </c:marker>
          <c:xVal>
            <c:numRef>
              <c:f>ОФП!$W$40:$W$44</c:f>
              <c:numCache>
                <c:formatCode>General</c:formatCode>
                <c:ptCount val="5"/>
                <c:pt idx="0">
                  <c:v>71.758794439658402</c:v>
                </c:pt>
                <c:pt idx="1">
                  <c:v>67.172239545893248</c:v>
                </c:pt>
                <c:pt idx="2">
                  <c:v>61.109143773081968</c:v>
                </c:pt>
                <c:pt idx="3">
                  <c:v>51.936033985551646</c:v>
                </c:pt>
                <c:pt idx="4">
                  <c:v>45.872938212740365</c:v>
                </c:pt>
              </c:numCache>
            </c:numRef>
          </c:xVal>
          <c:yVal>
            <c:numRef>
              <c:f>ОФП!$X$40:$X$44</c:f>
              <c:numCache>
                <c:formatCode>General</c:formatCode>
                <c:ptCount val="5"/>
                <c:pt idx="0">
                  <c:v>0.64181710260403524</c:v>
                </c:pt>
                <c:pt idx="1">
                  <c:v>0.47345578403101779</c:v>
                </c:pt>
                <c:pt idx="2">
                  <c:v>0.32980168321427716</c:v>
                </c:pt>
                <c:pt idx="3">
                  <c:v>0.19929663917939686</c:v>
                </c:pt>
                <c:pt idx="4">
                  <c:v>0.1450547333154808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2D9-4B09-BEC6-AFEF71FC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75119"/>
        <c:axId val="117334943"/>
      </c:scatterChart>
      <c:scatterChart>
        <c:scatterStyle val="lineMarker"/>
        <c:varyColors val="0"/>
        <c:ser>
          <c:idx val="10"/>
          <c:order val="10"/>
          <c:tx>
            <c:v>Кв_ГИС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РИГИС!$S$30:$S$118</c:f>
              <c:numCache>
                <c:formatCode>General</c:formatCode>
                <c:ptCount val="70"/>
                <c:pt idx="0">
                  <c:v>60.670634653146372</c:v>
                </c:pt>
                <c:pt idx="1">
                  <c:v>57.256389246895694</c:v>
                </c:pt>
                <c:pt idx="2">
                  <c:v>58.839258491506484</c:v>
                </c:pt>
                <c:pt idx="3">
                  <c:v>44.739984270847749</c:v>
                </c:pt>
                <c:pt idx="4">
                  <c:v>62.667953840516269</c:v>
                </c:pt>
                <c:pt idx="5">
                  <c:v>43.77043741572232</c:v>
                </c:pt>
                <c:pt idx="6">
                  <c:v>67.031215872439816</c:v>
                </c:pt>
                <c:pt idx="7">
                  <c:v>72.554763681789311</c:v>
                </c:pt>
                <c:pt idx="8">
                  <c:v>58.399067210472872</c:v>
                </c:pt>
                <c:pt idx="9">
                  <c:v>43.973543511833867</c:v>
                </c:pt>
                <c:pt idx="10">
                  <c:v>68.498150067863463</c:v>
                </c:pt>
                <c:pt idx="11">
                  <c:v>69.060438792944254</c:v>
                </c:pt>
                <c:pt idx="12">
                  <c:v>64.973141714601397</c:v>
                </c:pt>
                <c:pt idx="13">
                  <c:v>66.866228328470186</c:v>
                </c:pt>
                <c:pt idx="14">
                  <c:v>66.618149667227584</c:v>
                </c:pt>
                <c:pt idx="15">
                  <c:v>66.931773146372151</c:v>
                </c:pt>
                <c:pt idx="16">
                  <c:v>52.461954871451439</c:v>
                </c:pt>
                <c:pt idx="17">
                  <c:v>45.112881069473254</c:v>
                </c:pt>
                <c:pt idx="18">
                  <c:v>51.281397728716641</c:v>
                </c:pt>
                <c:pt idx="19">
                  <c:v>49.118538500464346</c:v>
                </c:pt>
                <c:pt idx="20">
                  <c:v>56.619691249200969</c:v>
                </c:pt>
                <c:pt idx="21">
                  <c:v>72.218828117791162</c:v>
                </c:pt>
                <c:pt idx="22">
                  <c:v>55.547887401830977</c:v>
                </c:pt>
                <c:pt idx="23">
                  <c:v>57.222600176513502</c:v>
                </c:pt>
                <c:pt idx="24">
                  <c:v>69.705116972260129</c:v>
                </c:pt>
                <c:pt idx="25">
                  <c:v>57.784631356747312</c:v>
                </c:pt>
                <c:pt idx="26">
                  <c:v>48.781207821850941</c:v>
                </c:pt>
                <c:pt idx="27">
                  <c:v>44.792295554482017</c:v>
                </c:pt>
                <c:pt idx="28">
                  <c:v>42.192667600632682</c:v>
                </c:pt>
                <c:pt idx="29">
                  <c:v>41.467160325115223</c:v>
                </c:pt>
                <c:pt idx="30">
                  <c:v>48.960833074779295</c:v>
                </c:pt>
                <c:pt idx="31">
                  <c:v>56.626379357948615</c:v>
                </c:pt>
                <c:pt idx="32">
                  <c:v>43.903128243871983</c:v>
                </c:pt>
                <c:pt idx="33">
                  <c:v>46.414348264546121</c:v>
                </c:pt>
                <c:pt idx="34">
                  <c:v>53.188735704181319</c:v>
                </c:pt>
                <c:pt idx="35">
                  <c:v>70.116601280775896</c:v>
                </c:pt>
                <c:pt idx="36">
                  <c:v>44.778026988435442</c:v>
                </c:pt>
                <c:pt idx="37">
                  <c:v>50.951752362256123</c:v>
                </c:pt>
                <c:pt idx="38">
                  <c:v>60.681338329620338</c:v>
                </c:pt>
                <c:pt idx="39">
                  <c:v>52.596358435495659</c:v>
                </c:pt>
                <c:pt idx="40">
                  <c:v>61.471963961156575</c:v>
                </c:pt>
                <c:pt idx="41">
                  <c:v>63.261636933100554</c:v>
                </c:pt>
                <c:pt idx="42">
                  <c:v>65.230766467009502</c:v>
                </c:pt>
                <c:pt idx="43">
                  <c:v>36.718499399546502</c:v>
                </c:pt>
                <c:pt idx="44">
                  <c:v>56.641790628451986</c:v>
                </c:pt>
                <c:pt idx="45">
                  <c:v>64.021714070998357</c:v>
                </c:pt>
                <c:pt idx="46">
                  <c:v>52.392373209231963</c:v>
                </c:pt>
                <c:pt idx="47">
                  <c:v>47.859499669521256</c:v>
                </c:pt>
                <c:pt idx="48">
                  <c:v>49.243007306074389</c:v>
                </c:pt>
                <c:pt idx="49">
                  <c:v>47.448413670500692</c:v>
                </c:pt>
                <c:pt idx="50">
                  <c:v>45.468089448191257</c:v>
                </c:pt>
                <c:pt idx="51">
                  <c:v>40.165425322089789</c:v>
                </c:pt>
                <c:pt idx="52">
                  <c:v>50.979822653183732</c:v>
                </c:pt>
                <c:pt idx="53">
                  <c:v>52.161353229693425</c:v>
                </c:pt>
                <c:pt idx="54">
                  <c:v>61.786585304526319</c:v>
                </c:pt>
                <c:pt idx="55">
                  <c:v>56.092244011760613</c:v>
                </c:pt>
                <c:pt idx="56">
                  <c:v>62.262988615972823</c:v>
                </c:pt>
                <c:pt idx="57">
                  <c:v>48.28716480758321</c:v>
                </c:pt>
                <c:pt idx="58">
                  <c:v>52.793510271469621</c:v>
                </c:pt>
                <c:pt idx="59">
                  <c:v>58.837602115699788</c:v>
                </c:pt>
                <c:pt idx="60">
                  <c:v>61.43277328773852</c:v>
                </c:pt>
                <c:pt idx="61">
                  <c:v>57.707869728168689</c:v>
                </c:pt>
                <c:pt idx="62">
                  <c:v>62.703138813390176</c:v>
                </c:pt>
                <c:pt idx="63">
                  <c:v>48.581641005234907</c:v>
                </c:pt>
                <c:pt idx="64">
                  <c:v>51.698920781357231</c:v>
                </c:pt>
                <c:pt idx="65">
                  <c:v>53.296428169757121</c:v>
                </c:pt>
                <c:pt idx="66">
                  <c:v>54.986702745906243</c:v>
                </c:pt>
                <c:pt idx="67">
                  <c:v>59.083410616671152</c:v>
                </c:pt>
                <c:pt idx="68">
                  <c:v>67.387129610016416</c:v>
                </c:pt>
                <c:pt idx="69">
                  <c:v>54.873357019599254</c:v>
                </c:pt>
              </c:numCache>
            </c:numRef>
          </c:xVal>
          <c:yVal>
            <c:numRef>
              <c:f>РИГИС!$O$30:$O$118</c:f>
              <c:numCache>
                <c:formatCode>General</c:formatCode>
                <c:ptCount val="70"/>
                <c:pt idx="0">
                  <c:v>0.40675174040369794</c:v>
                </c:pt>
                <c:pt idx="1">
                  <c:v>0.40062560086881288</c:v>
                </c:pt>
                <c:pt idx="2">
                  <c:v>0.38377871714788403</c:v>
                </c:pt>
                <c:pt idx="3">
                  <c:v>0.36233722877578961</c:v>
                </c:pt>
                <c:pt idx="4">
                  <c:v>1.082256711749729</c:v>
                </c:pt>
                <c:pt idx="5">
                  <c:v>1.054689083842753</c:v>
                </c:pt>
                <c:pt idx="6">
                  <c:v>1.0263556884939153</c:v>
                </c:pt>
                <c:pt idx="7">
                  <c:v>1.0125718745404273</c:v>
                </c:pt>
                <c:pt idx="8">
                  <c:v>0.97964387454042601</c:v>
                </c:pt>
                <c:pt idx="9">
                  <c:v>1.2857706052649482</c:v>
                </c:pt>
                <c:pt idx="10">
                  <c:v>1.2689237215440177</c:v>
                </c:pt>
                <c:pt idx="11">
                  <c:v>1.2612660471254129</c:v>
                </c:pt>
                <c:pt idx="12">
                  <c:v>1.2413560936370416</c:v>
                </c:pt>
                <c:pt idx="13">
                  <c:v>1.2352299541021565</c:v>
                </c:pt>
                <c:pt idx="14">
                  <c:v>1.2122569308463427</c:v>
                </c:pt>
                <c:pt idx="15">
                  <c:v>1.2045992564277379</c:v>
                </c:pt>
                <c:pt idx="16">
                  <c:v>1.1946442796835521</c:v>
                </c:pt>
                <c:pt idx="17">
                  <c:v>1.1594189773579713</c:v>
                </c:pt>
                <c:pt idx="18">
                  <c:v>0.52658573037221768</c:v>
                </c:pt>
                <c:pt idx="19">
                  <c:v>0.50208117223268411</c:v>
                </c:pt>
                <c:pt idx="20">
                  <c:v>0.49289196293035825</c:v>
                </c:pt>
                <c:pt idx="21">
                  <c:v>0.47604507920942768</c:v>
                </c:pt>
                <c:pt idx="22">
                  <c:v>0.44038701419349174</c:v>
                </c:pt>
                <c:pt idx="23">
                  <c:v>0.43426087465860835</c:v>
                </c:pt>
                <c:pt idx="24">
                  <c:v>0.42047706070512036</c:v>
                </c:pt>
                <c:pt idx="25">
                  <c:v>0.39903557233302589</c:v>
                </c:pt>
                <c:pt idx="26">
                  <c:v>0.34794072879363086</c:v>
                </c:pt>
                <c:pt idx="27">
                  <c:v>0.32496770553781684</c:v>
                </c:pt>
                <c:pt idx="28">
                  <c:v>0.46543135267195401</c:v>
                </c:pt>
                <c:pt idx="29">
                  <c:v>0.41948530616032609</c:v>
                </c:pt>
                <c:pt idx="30">
                  <c:v>0.3995753526719546</c:v>
                </c:pt>
                <c:pt idx="31">
                  <c:v>0.38962037592776722</c:v>
                </c:pt>
                <c:pt idx="32">
                  <c:v>0.36741312011381483</c:v>
                </c:pt>
                <c:pt idx="33">
                  <c:v>0.35439507360218653</c:v>
                </c:pt>
                <c:pt idx="34">
                  <c:v>0.32835898057892998</c:v>
                </c:pt>
                <c:pt idx="35">
                  <c:v>0.30155712011381375</c:v>
                </c:pt>
                <c:pt idx="36">
                  <c:v>0.29543098057893036</c:v>
                </c:pt>
                <c:pt idx="37">
                  <c:v>0.20085487220456694</c:v>
                </c:pt>
                <c:pt idx="38">
                  <c:v>0.7499289937023973</c:v>
                </c:pt>
                <c:pt idx="39">
                  <c:v>0.70551448207449052</c:v>
                </c:pt>
                <c:pt idx="40">
                  <c:v>0.67718108672565291</c:v>
                </c:pt>
                <c:pt idx="41">
                  <c:v>0.66339727277216498</c:v>
                </c:pt>
                <c:pt idx="42">
                  <c:v>0.6511449937023982</c:v>
                </c:pt>
                <c:pt idx="43">
                  <c:v>0.64272155184193214</c:v>
                </c:pt>
                <c:pt idx="44">
                  <c:v>0.62204583091169918</c:v>
                </c:pt>
                <c:pt idx="45">
                  <c:v>0.61591969137681579</c:v>
                </c:pt>
                <c:pt idx="46">
                  <c:v>0.58222592393495631</c:v>
                </c:pt>
                <c:pt idx="47">
                  <c:v>0.52709066812100247</c:v>
                </c:pt>
                <c:pt idx="48">
                  <c:v>0.48650499370239814</c:v>
                </c:pt>
                <c:pt idx="49">
                  <c:v>0.48037885416751308</c:v>
                </c:pt>
                <c:pt idx="50">
                  <c:v>1.0119859256150969</c:v>
                </c:pt>
                <c:pt idx="51">
                  <c:v>1.0073913209639334</c:v>
                </c:pt>
                <c:pt idx="52">
                  <c:v>1.0027967163127711</c:v>
                </c:pt>
                <c:pt idx="53">
                  <c:v>0.99667057677788773</c:v>
                </c:pt>
                <c:pt idx="54">
                  <c:v>0.98441829770811917</c:v>
                </c:pt>
                <c:pt idx="55">
                  <c:v>0.94919299538253843</c:v>
                </c:pt>
                <c:pt idx="56">
                  <c:v>0.9354091814290505</c:v>
                </c:pt>
                <c:pt idx="57">
                  <c:v>0.87797662328951565</c:v>
                </c:pt>
                <c:pt idx="58">
                  <c:v>0.87031894887091088</c:v>
                </c:pt>
                <c:pt idx="59">
                  <c:v>0.77779159556852873</c:v>
                </c:pt>
                <c:pt idx="60">
                  <c:v>0.75022396766155108</c:v>
                </c:pt>
                <c:pt idx="61">
                  <c:v>0.68819680487085411</c:v>
                </c:pt>
                <c:pt idx="62">
                  <c:v>0.6836022002196902</c:v>
                </c:pt>
                <c:pt idx="63">
                  <c:v>0.66828685138248078</c:v>
                </c:pt>
                <c:pt idx="64">
                  <c:v>0.65603457231271423</c:v>
                </c:pt>
                <c:pt idx="65">
                  <c:v>0.6514399676615521</c:v>
                </c:pt>
                <c:pt idx="66">
                  <c:v>0.64378229324294756</c:v>
                </c:pt>
                <c:pt idx="67">
                  <c:v>1.1406084081764443</c:v>
                </c:pt>
                <c:pt idx="68">
                  <c:v>1.1038515709671421</c:v>
                </c:pt>
                <c:pt idx="69">
                  <c:v>1.0931308267810951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2D9-4B09-BEC6-AFEF71FC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475119"/>
        <c:axId val="117334943"/>
      </c:scatterChart>
      <c:scatterChart>
        <c:scatterStyle val="smoothMarker"/>
        <c:varyColors val="0"/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42D9-4B09-BEC6-AFEF71FC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025919"/>
        <c:axId val="116021119"/>
      </c:scatterChart>
      <c:valAx>
        <c:axId val="115475119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Кв,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7334943"/>
        <c:crossesAt val="1.0000000000000002E-3"/>
        <c:crossBetween val="midCat"/>
      </c:valAx>
      <c:valAx>
        <c:axId val="1173349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Рк лаб, Мпа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5475119"/>
        <c:crosses val="autoZero"/>
        <c:crossBetween val="midCat"/>
      </c:valAx>
      <c:valAx>
        <c:axId val="116021119"/>
        <c:scaling>
          <c:logBase val="10"/>
          <c:orientation val="minMax"/>
          <c:max val="158"/>
          <c:min val="0.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r>
                  <a:rPr lang="ru-RU"/>
                  <a:t>зчв,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6025919"/>
        <c:crosses val="max"/>
        <c:crossBetween val="midCat"/>
      </c:valAx>
      <c:valAx>
        <c:axId val="116025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602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9.xml"/><Relationship Id="rId3" Type="http://schemas.openxmlformats.org/officeDocument/2006/relationships/image" Target="../media/image3.png"/><Relationship Id="rId7" Type="http://schemas.openxmlformats.org/officeDocument/2006/relationships/chart" Target="../charts/chart3.xml"/><Relationship Id="rId12" Type="http://schemas.openxmlformats.org/officeDocument/2006/relationships/chart" Target="../charts/chart8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11" Type="http://schemas.openxmlformats.org/officeDocument/2006/relationships/chart" Target="../charts/chart7.xml"/><Relationship Id="rId5" Type="http://schemas.openxmlformats.org/officeDocument/2006/relationships/image" Target="../media/image5.png"/><Relationship Id="rId10" Type="http://schemas.openxmlformats.org/officeDocument/2006/relationships/chart" Target="../charts/chart6.xml"/><Relationship Id="rId4" Type="http://schemas.openxmlformats.org/officeDocument/2006/relationships/image" Target="../media/image4.png"/><Relationship Id="rId9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image" Target="../media/image6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70757</xdr:colOff>
      <xdr:row>5</xdr:row>
      <xdr:rowOff>156755</xdr:rowOff>
    </xdr:from>
    <xdr:to>
      <xdr:col>31</xdr:col>
      <xdr:colOff>359228</xdr:colOff>
      <xdr:row>36</xdr:row>
      <xdr:rowOff>65315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9F15EA0-C3E2-3906-5148-95239FE7BB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596900</xdr:colOff>
      <xdr:row>0</xdr:row>
      <xdr:rowOff>44450</xdr:rowOff>
    </xdr:from>
    <xdr:to>
      <xdr:col>20</xdr:col>
      <xdr:colOff>549052</xdr:colOff>
      <xdr:row>3</xdr:row>
      <xdr:rowOff>38029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4900" y="44450"/>
          <a:ext cx="1780952" cy="584129"/>
        </a:xfrm>
        <a:prstGeom prst="rect">
          <a:avLst/>
        </a:prstGeom>
      </xdr:spPr>
    </xdr:pic>
    <xdr:clientData/>
  </xdr:twoCellAnchor>
  <xdr:twoCellAnchor>
    <xdr:from>
      <xdr:col>17</xdr:col>
      <xdr:colOff>171450</xdr:colOff>
      <xdr:row>96</xdr:row>
      <xdr:rowOff>833</xdr:rowOff>
    </xdr:from>
    <xdr:to>
      <xdr:col>32</xdr:col>
      <xdr:colOff>351225</xdr:colOff>
      <xdr:row>110</xdr:row>
      <xdr:rowOff>19051</xdr:rowOff>
    </xdr:to>
    <xdr:grpSp>
      <xdr:nvGrpSpPr>
        <xdr:cNvPr id="5" name="Группа 4">
          <a:extLst>
            <a:ext uri="{FF2B5EF4-FFF2-40B4-BE49-F238E27FC236}">
              <a16:creationId xmlns:a16="http://schemas.microsoft.com/office/drawing/2014/main" id="{C8AE32A6-D849-40BF-AEB7-94F7FF002C8B}"/>
            </a:ext>
          </a:extLst>
        </xdr:cNvPr>
        <xdr:cNvGrpSpPr/>
      </xdr:nvGrpSpPr>
      <xdr:grpSpPr>
        <a:xfrm>
          <a:off x="10897801" y="17429009"/>
          <a:ext cx="9318627" cy="2541056"/>
          <a:chOff x="9296399" y="12164257"/>
          <a:chExt cx="9257101" cy="2932488"/>
        </a:xfrm>
      </xdr:grpSpPr>
      <xdr:pic>
        <xdr:nvPicPr>
          <xdr:cNvPr id="4" name="Рисунок 3">
            <a:extLst>
              <a:ext uri="{FF2B5EF4-FFF2-40B4-BE49-F238E27FC236}">
                <a16:creationId xmlns:a16="http://schemas.microsoft.com/office/drawing/2014/main" id="{2AA88A30-012A-449E-A664-CC7FA43A5C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296399" y="12164257"/>
            <a:ext cx="9257101" cy="2932488"/>
          </a:xfrm>
          <a:prstGeom prst="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</xdr:pic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1DBF8BCD-D320-436C-A29B-77132EBD35F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l="5469" r="14573" b="16473"/>
          <a:stretch/>
        </xdr:blipFill>
        <xdr:spPr>
          <a:xfrm>
            <a:off x="9429750" y="12325351"/>
            <a:ext cx="2924176" cy="723900"/>
          </a:xfrm>
          <a:prstGeom prst="rect">
            <a:avLst/>
          </a:prstGeom>
          <a:ln>
            <a:noFill/>
          </a:ln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</xdr:pic>
    </xdr:grpSp>
    <xdr:clientData/>
  </xdr:twoCellAnchor>
  <xdr:twoCellAnchor>
    <xdr:from>
      <xdr:col>15</xdr:col>
      <xdr:colOff>163606</xdr:colOff>
      <xdr:row>96</xdr:row>
      <xdr:rowOff>22972</xdr:rowOff>
    </xdr:from>
    <xdr:to>
      <xdr:col>17</xdr:col>
      <xdr:colOff>373156</xdr:colOff>
      <xdr:row>97</xdr:row>
      <xdr:rowOff>154641</xdr:rowOff>
    </xdr:to>
    <xdr:cxnSp macro="">
      <xdr:nvCxnSpPr>
        <xdr:cNvPr id="7" name="Прямая со стрелкой 6">
          <a:extLst>
            <a:ext uri="{FF2B5EF4-FFF2-40B4-BE49-F238E27FC236}">
              <a16:creationId xmlns:a16="http://schemas.microsoft.com/office/drawing/2014/main" id="{C769D2C8-B0E7-4E47-B936-DD9768E24221}"/>
            </a:ext>
          </a:extLst>
        </xdr:cNvPr>
        <xdr:cNvCxnSpPr/>
      </xdr:nvCxnSpPr>
      <xdr:spPr>
        <a:xfrm flipH="1">
          <a:off x="9639300" y="17369678"/>
          <a:ext cx="1446680" cy="310963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600075</xdr:colOff>
      <xdr:row>109</xdr:row>
      <xdr:rowOff>9247</xdr:rowOff>
    </xdr:from>
    <xdr:to>
      <xdr:col>14</xdr:col>
      <xdr:colOff>371475</xdr:colOff>
      <xdr:row>115</xdr:row>
      <xdr:rowOff>166363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5569E0A-EABA-48A0-B817-DE4134882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9275" y="15706447"/>
          <a:ext cx="7391400" cy="1300116"/>
        </a:xfrm>
        <a:prstGeom prst="rect">
          <a:avLst/>
        </a:prstGeom>
        <a:ln>
          <a:solidFill>
            <a:srgbClr val="92D050"/>
          </a:solidFill>
        </a:ln>
      </xdr:spPr>
    </xdr:pic>
    <xdr:clientData/>
  </xdr:twoCellAnchor>
  <xdr:twoCellAnchor>
    <xdr:from>
      <xdr:col>8</xdr:col>
      <xdr:colOff>333375</xdr:colOff>
      <xdr:row>105</xdr:row>
      <xdr:rowOff>9526</xdr:rowOff>
    </xdr:from>
    <xdr:to>
      <xdr:col>9</xdr:col>
      <xdr:colOff>371475</xdr:colOff>
      <xdr:row>109</xdr:row>
      <xdr:rowOff>9247</xdr:rowOff>
    </xdr:to>
    <xdr:cxnSp macro="">
      <xdr:nvCxnSpPr>
        <xdr:cNvPr id="9" name="Прямая со стрелкой 8">
          <a:extLst>
            <a:ext uri="{FF2B5EF4-FFF2-40B4-BE49-F238E27FC236}">
              <a16:creationId xmlns:a16="http://schemas.microsoft.com/office/drawing/2014/main" id="{832A5070-09E0-4A8C-9207-8D0455494AC9}"/>
            </a:ext>
          </a:extLst>
        </xdr:cNvPr>
        <xdr:cNvCxnSpPr>
          <a:stCxn id="8" idx="0"/>
        </xdr:cNvCxnSpPr>
      </xdr:nvCxnSpPr>
      <xdr:spPr>
        <a:xfrm flipV="1">
          <a:off x="5514975" y="14944726"/>
          <a:ext cx="647700" cy="761721"/>
        </a:xfrm>
        <a:prstGeom prst="straightConnector1">
          <a:avLst/>
        </a:prstGeom>
        <a:ln>
          <a:solidFill>
            <a:srgbClr val="92D05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42</xdr:col>
      <xdr:colOff>342900</xdr:colOff>
      <xdr:row>9</xdr:row>
      <xdr:rowOff>0</xdr:rowOff>
    </xdr:from>
    <xdr:to>
      <xdr:col>45</xdr:col>
      <xdr:colOff>247417</xdr:colOff>
      <xdr:row>12</xdr:row>
      <xdr:rowOff>171357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6808B290-419B-479A-94D5-24530860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6436754" y="1728439"/>
          <a:ext cx="1893151" cy="728918"/>
        </a:xfrm>
        <a:prstGeom prst="rect">
          <a:avLst/>
        </a:prstGeom>
      </xdr:spPr>
    </xdr:pic>
    <xdr:clientData/>
  </xdr:twoCellAnchor>
  <xdr:twoCellAnchor>
    <xdr:from>
      <xdr:col>41</xdr:col>
      <xdr:colOff>190500</xdr:colOff>
      <xdr:row>4</xdr:row>
      <xdr:rowOff>161925</xdr:rowOff>
    </xdr:from>
    <xdr:to>
      <xdr:col>43</xdr:col>
      <xdr:colOff>533284</xdr:colOff>
      <xdr:row>9</xdr:row>
      <xdr:rowOff>0</xdr:rowOff>
    </xdr:to>
    <xdr:cxnSp macro="">
      <xdr:nvCxnSpPr>
        <xdr:cNvPr id="14" name="Прямая со стрелкой 13">
          <a:extLst>
            <a:ext uri="{FF2B5EF4-FFF2-40B4-BE49-F238E27FC236}">
              <a16:creationId xmlns:a16="http://schemas.microsoft.com/office/drawing/2014/main" id="{396ED660-1E1D-41DF-B1A2-1B0582D7B08E}"/>
            </a:ext>
          </a:extLst>
        </xdr:cNvPr>
        <xdr:cNvCxnSpPr>
          <a:stCxn id="12" idx="0"/>
        </xdr:cNvCxnSpPr>
      </xdr:nvCxnSpPr>
      <xdr:spPr>
        <a:xfrm flipH="1" flipV="1">
          <a:off x="25671037" y="961096"/>
          <a:ext cx="1718101" cy="767343"/>
        </a:xfrm>
        <a:prstGeom prst="straightConnector1">
          <a:avLst/>
        </a:prstGeom>
        <a:ln>
          <a:tailEnd type="triangle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279876</xdr:colOff>
      <xdr:row>12</xdr:row>
      <xdr:rowOff>8236</xdr:rowOff>
    </xdr:from>
    <xdr:to>
      <xdr:col>62</xdr:col>
      <xdr:colOff>584676</xdr:colOff>
      <xdr:row>27</xdr:row>
      <xdr:rowOff>90567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7D84BCA-2C50-2976-FFEB-15DA77E3B8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55</xdr:col>
      <xdr:colOff>348818</xdr:colOff>
      <xdr:row>44</xdr:row>
      <xdr:rowOff>93472</xdr:rowOff>
    </xdr:from>
    <xdr:to>
      <xdr:col>63</xdr:col>
      <xdr:colOff>45556</xdr:colOff>
      <xdr:row>59</xdr:row>
      <xdr:rowOff>162664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6857871A-134D-4494-87D9-8648C2AD2A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55</xdr:col>
      <xdr:colOff>288714</xdr:colOff>
      <xdr:row>28</xdr:row>
      <xdr:rowOff>63991</xdr:rowOff>
    </xdr:from>
    <xdr:to>
      <xdr:col>62</xdr:col>
      <xdr:colOff>593513</xdr:colOff>
      <xdr:row>43</xdr:row>
      <xdr:rowOff>146322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530D4B80-0E09-462E-87E7-D30468A74D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63</xdr:col>
      <xdr:colOff>439651</xdr:colOff>
      <xdr:row>12</xdr:row>
      <xdr:rowOff>42997</xdr:rowOff>
    </xdr:from>
    <xdr:to>
      <xdr:col>73</xdr:col>
      <xdr:colOff>131379</xdr:colOff>
      <xdr:row>50</xdr:row>
      <xdr:rowOff>105104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A4FE29C0-8E3A-ED45-9DEA-9EAFF6AFC6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165646</xdr:colOff>
      <xdr:row>120</xdr:row>
      <xdr:rowOff>114649</xdr:rowOff>
    </xdr:from>
    <xdr:to>
      <xdr:col>16</xdr:col>
      <xdr:colOff>160875</xdr:colOff>
      <xdr:row>151</xdr:row>
      <xdr:rowOff>175157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5CA20471-849F-813F-FD1E-DB7F35CA84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451012</xdr:colOff>
      <xdr:row>111</xdr:row>
      <xdr:rowOff>122550</xdr:rowOff>
    </xdr:from>
    <xdr:to>
      <xdr:col>26</xdr:col>
      <xdr:colOff>164992</xdr:colOff>
      <xdr:row>126</xdr:row>
      <xdr:rowOff>112455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D4B7024-7DF6-4B12-684A-956147BAB0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27</xdr:col>
      <xdr:colOff>94548</xdr:colOff>
      <xdr:row>112</xdr:row>
      <xdr:rowOff>16304</xdr:rowOff>
    </xdr:from>
    <xdr:to>
      <xdr:col>34</xdr:col>
      <xdr:colOff>374823</xdr:colOff>
      <xdr:row>127</xdr:row>
      <xdr:rowOff>128830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8ECBCDCF-2C92-598F-8ACA-BDAA9A743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35</xdr:col>
      <xdr:colOff>66386</xdr:colOff>
      <xdr:row>111</xdr:row>
      <xdr:rowOff>136525</xdr:rowOff>
    </xdr:from>
    <xdr:to>
      <xdr:col>42</xdr:col>
      <xdr:colOff>395431</xdr:colOff>
      <xdr:row>126</xdr:row>
      <xdr:rowOff>65520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C520D4C9-4FAD-3109-CFDF-1A03123797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433564</xdr:colOff>
      <xdr:row>0</xdr:row>
      <xdr:rowOff>807664</xdr:rowOff>
    </xdr:from>
    <xdr:to>
      <xdr:col>32</xdr:col>
      <xdr:colOff>399013</xdr:colOff>
      <xdr:row>18</xdr:row>
      <xdr:rowOff>98054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EBB7A743-314D-440F-B2FA-63B41EFBD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60740" y="807664"/>
          <a:ext cx="4283449" cy="4183625"/>
        </a:xfrm>
        <a:prstGeom prst="rect">
          <a:avLst/>
        </a:prstGeom>
      </xdr:spPr>
    </xdr:pic>
    <xdr:clientData/>
  </xdr:twoCellAnchor>
  <xdr:twoCellAnchor>
    <xdr:from>
      <xdr:col>32</xdr:col>
      <xdr:colOff>549557</xdr:colOff>
      <xdr:row>0</xdr:row>
      <xdr:rowOff>925653</xdr:rowOff>
    </xdr:from>
    <xdr:to>
      <xdr:col>40</xdr:col>
      <xdr:colOff>6947</xdr:colOff>
      <xdr:row>16</xdr:row>
      <xdr:rowOff>68195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E7E0EBB8-3635-47C8-B8CC-F0248FC05E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375351</xdr:colOff>
      <xdr:row>8</xdr:row>
      <xdr:rowOff>108590</xdr:rowOff>
    </xdr:from>
    <xdr:to>
      <xdr:col>26</xdr:col>
      <xdr:colOff>143181</xdr:colOff>
      <xdr:row>35</xdr:row>
      <xdr:rowOff>88839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14C2B41-7959-F00B-7C00-562346E08E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437031</xdr:colOff>
      <xdr:row>19</xdr:row>
      <xdr:rowOff>105211</xdr:rowOff>
    </xdr:from>
    <xdr:to>
      <xdr:col>42</xdr:col>
      <xdr:colOff>148023</xdr:colOff>
      <xdr:row>49</xdr:row>
      <xdr:rowOff>46991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A89F5E0B-D9B8-401C-9368-3012AFDBD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165230</xdr:colOff>
      <xdr:row>44</xdr:row>
      <xdr:rowOff>136188</xdr:rowOff>
    </xdr:from>
    <xdr:to>
      <xdr:col>29</xdr:col>
      <xdr:colOff>35528</xdr:colOff>
      <xdr:row>59</xdr:row>
      <xdr:rowOff>55406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8420B925-6D0D-143A-3A0A-BBF9589FEB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0.65872</cdr:x>
      <cdr:y>0.12938</cdr:y>
    </cdr:from>
    <cdr:to>
      <cdr:x>0.65872</cdr:x>
      <cdr:y>0.82649</cdr:y>
    </cdr:to>
    <cdr:cxnSp macro="">
      <cdr:nvCxnSpPr>
        <cdr:cNvPr id="3" name="Прямая соединительная линия 2">
          <a:extLst xmlns:a="http://schemas.openxmlformats.org/drawingml/2006/main">
            <a:ext uri="{FF2B5EF4-FFF2-40B4-BE49-F238E27FC236}">
              <a16:creationId xmlns:a16="http://schemas.microsoft.com/office/drawing/2014/main" id="{D878904E-5931-44DD-9D92-DD3F8B5D5E02}"/>
            </a:ext>
          </a:extLst>
        </cdr:cNvPr>
        <cdr:cNvCxnSpPr/>
      </cdr:nvCxnSpPr>
      <cdr:spPr>
        <a:xfrm xmlns:a="http://schemas.openxmlformats.org/drawingml/2006/main" flipV="1">
          <a:off x="3093030" y="475412"/>
          <a:ext cx="0" cy="2561493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val="FF0000"/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11206</xdr:colOff>
      <xdr:row>42</xdr:row>
      <xdr:rowOff>168089</xdr:rowOff>
    </xdr:from>
    <xdr:to>
      <xdr:col>36</xdr:col>
      <xdr:colOff>84804</xdr:colOff>
      <xdr:row>86</xdr:row>
      <xdr:rowOff>161842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D4656C5-548D-42E2-87A3-E616BA5FFC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0.32372</cdr:x>
      <cdr:y>0.37683</cdr:y>
    </cdr:from>
    <cdr:to>
      <cdr:x>0.40465</cdr:x>
      <cdr:y>0.44848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E5614D9-8125-CAFB-F2DE-B4C62B8A9F98}"/>
            </a:ext>
          </a:extLst>
        </cdr:cNvPr>
        <cdr:cNvSpPr txBox="1"/>
      </cdr:nvSpPr>
      <cdr:spPr>
        <a:xfrm xmlns:a="http://schemas.openxmlformats.org/drawingml/2006/main">
          <a:off x="2194560" y="2164080"/>
          <a:ext cx="548640" cy="4114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ru-RU" sz="1100" b="1" kern="1200">
              <a:solidFill>
                <a:srgbClr val="00FFFF"/>
              </a:solidFill>
            </a:rPr>
            <a:t>Кв*</a:t>
          </a:r>
        </a:p>
      </cdr:txBody>
    </cdr:sp>
  </cdr:relSizeAnchor>
  <cdr:relSizeAnchor xmlns:cdr="http://schemas.openxmlformats.org/drawingml/2006/chartDrawing">
    <cdr:from>
      <cdr:x>0.37055</cdr:x>
      <cdr:y>0.42283</cdr:y>
    </cdr:from>
    <cdr:to>
      <cdr:x>0.45148</cdr:x>
      <cdr:y>0.49448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D3886D72-9839-C048-5DAA-AC9FFA42871B}"/>
            </a:ext>
          </a:extLst>
        </cdr:cNvPr>
        <cdr:cNvSpPr txBox="1"/>
      </cdr:nvSpPr>
      <cdr:spPr>
        <a:xfrm xmlns:a="http://schemas.openxmlformats.org/drawingml/2006/main">
          <a:off x="2512060" y="2428240"/>
          <a:ext cx="548640" cy="4114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 b="1" kern="1200">
              <a:solidFill>
                <a:srgbClr val="CC0099"/>
              </a:solidFill>
            </a:rPr>
            <a:t>Кв кр</a:t>
          </a:r>
        </a:p>
      </cdr:txBody>
    </cdr:sp>
  </cdr:relSizeAnchor>
  <cdr:relSizeAnchor xmlns:cdr="http://schemas.openxmlformats.org/drawingml/2006/chartDrawing">
    <cdr:from>
      <cdr:x>0.46048</cdr:x>
      <cdr:y>0.49581</cdr:y>
    </cdr:from>
    <cdr:to>
      <cdr:x>0.54141</cdr:x>
      <cdr:y>0.56746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904EB08-AF36-00A1-2DC0-A467675D7E77}"/>
            </a:ext>
          </a:extLst>
        </cdr:cNvPr>
        <cdr:cNvSpPr txBox="1"/>
      </cdr:nvSpPr>
      <cdr:spPr>
        <a:xfrm xmlns:a="http://schemas.openxmlformats.org/drawingml/2006/main">
          <a:off x="3121660" y="2847340"/>
          <a:ext cx="548640" cy="4114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 b="1" kern="1200">
              <a:solidFill>
                <a:schemeClr val="tx1">
                  <a:lumMod val="95000"/>
                  <a:lumOff val="5000"/>
                </a:schemeClr>
              </a:solidFill>
            </a:rPr>
            <a:t>Кв **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R24"/>
  <sheetViews>
    <sheetView topLeftCell="A19" workbookViewId="0">
      <selection activeCell="G22" sqref="G22"/>
    </sheetView>
  </sheetViews>
  <sheetFormatPr defaultRowHeight="14.5" x14ac:dyDescent="0.35"/>
  <sheetData>
    <row r="1" spans="1:18" ht="16" thickTop="1" x14ac:dyDescent="0.35">
      <c r="A1" s="1" t="s">
        <v>0</v>
      </c>
      <c r="B1" s="1" t="s">
        <v>1</v>
      </c>
      <c r="C1" s="2" t="s">
        <v>2</v>
      </c>
      <c r="D1" s="3" t="s">
        <v>3</v>
      </c>
      <c r="E1" s="2" t="s">
        <v>4</v>
      </c>
      <c r="F1" s="173" t="s">
        <v>5</v>
      </c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5"/>
    </row>
    <row r="2" spans="1:18" ht="15.5" x14ac:dyDescent="0.35">
      <c r="C2" s="4" t="s">
        <v>6</v>
      </c>
      <c r="D2" s="5"/>
      <c r="E2" s="4" t="s">
        <v>7</v>
      </c>
      <c r="F2" s="6">
        <v>0</v>
      </c>
      <c r="G2" s="7">
        <v>5.0000000000000001E-3</v>
      </c>
      <c r="H2" s="7">
        <v>0.01</v>
      </c>
      <c r="I2" s="7">
        <v>1.4999999999999999E-2</v>
      </c>
      <c r="J2" s="7">
        <v>2.5000000000000001E-2</v>
      </c>
      <c r="K2" s="7">
        <v>0.05</v>
      </c>
      <c r="L2" s="8">
        <v>0.1</v>
      </c>
      <c r="M2" s="8">
        <v>0.2</v>
      </c>
      <c r="N2" s="8">
        <v>0.3</v>
      </c>
      <c r="O2" s="8">
        <v>0.5</v>
      </c>
      <c r="P2" s="9">
        <v>0.8</v>
      </c>
      <c r="Q2" s="9">
        <v>1</v>
      </c>
      <c r="R2" s="10">
        <v>1.2</v>
      </c>
    </row>
    <row r="3" spans="1:18" ht="16" x14ac:dyDescent="0.35">
      <c r="A3" s="11"/>
      <c r="B3" s="11"/>
      <c r="C3" s="12"/>
      <c r="D3" s="13" t="s">
        <v>8</v>
      </c>
      <c r="E3" s="12" t="s">
        <v>9</v>
      </c>
      <c r="F3" s="176" t="s">
        <v>10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8"/>
    </row>
    <row r="4" spans="1:18" ht="15.5" x14ac:dyDescent="0.35">
      <c r="C4" s="14"/>
      <c r="D4" s="15" t="s">
        <v>11</v>
      </c>
      <c r="E4" s="14" t="s">
        <v>12</v>
      </c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5" t="s">
        <v>13</v>
      </c>
    </row>
    <row r="5" spans="1:18" x14ac:dyDescent="0.35">
      <c r="A5" t="s">
        <v>14</v>
      </c>
      <c r="B5">
        <v>60</v>
      </c>
      <c r="C5" t="s">
        <v>15</v>
      </c>
      <c r="D5">
        <v>26.07</v>
      </c>
      <c r="E5">
        <v>15.57</v>
      </c>
      <c r="F5">
        <v>100</v>
      </c>
      <c r="G5">
        <v>96.178750569995401</v>
      </c>
      <c r="H5">
        <v>95.491716066271294</v>
      </c>
      <c r="I5">
        <v>95.172518619850834</v>
      </c>
      <c r="J5">
        <v>93.853169174646467</v>
      </c>
      <c r="K5">
        <v>93.147894816841443</v>
      </c>
      <c r="L5">
        <v>92.202462380300886</v>
      </c>
      <c r="M5">
        <v>90.652226782185807</v>
      </c>
      <c r="N5">
        <v>88.913223894208798</v>
      </c>
      <c r="O5">
        <v>86.047773217814097</v>
      </c>
      <c r="P5">
        <v>81.8671530627755</v>
      </c>
      <c r="Q5">
        <v>79.711506307949406</v>
      </c>
      <c r="R5">
        <v>77.926736586107268</v>
      </c>
    </row>
    <row r="6" spans="1:18" x14ac:dyDescent="0.35">
      <c r="A6" t="s">
        <v>14</v>
      </c>
      <c r="B6">
        <v>60</v>
      </c>
      <c r="C6" t="s">
        <v>16</v>
      </c>
      <c r="D6">
        <v>73.59</v>
      </c>
      <c r="E6">
        <v>20.09</v>
      </c>
      <c r="F6">
        <v>100</v>
      </c>
      <c r="G6">
        <v>97.974274233814398</v>
      </c>
      <c r="H6">
        <v>97.37987113340769</v>
      </c>
      <c r="I6">
        <v>91.157659478351761</v>
      </c>
      <c r="J6">
        <v>81.68762928267428</v>
      </c>
      <c r="K6">
        <v>61.6705104733825</v>
      </c>
      <c r="L6">
        <v>56.12116312798684</v>
      </c>
      <c r="M6">
        <v>52.609976461637103</v>
      </c>
      <c r="N6">
        <v>50.707824722413697</v>
      </c>
      <c r="O6">
        <v>48.256691790102998</v>
      </c>
      <c r="P6">
        <v>45.505057181578202</v>
      </c>
      <c r="Q6">
        <v>43.874081647209749</v>
      </c>
      <c r="R6">
        <v>42.44038136902914</v>
      </c>
    </row>
    <row r="7" spans="1:18" x14ac:dyDescent="0.35">
      <c r="A7" t="s">
        <v>14</v>
      </c>
      <c r="B7">
        <v>60</v>
      </c>
      <c r="C7" t="s">
        <v>17</v>
      </c>
      <c r="D7">
        <v>6.9749999999999996</v>
      </c>
      <c r="E7">
        <v>17.84</v>
      </c>
      <c r="F7">
        <v>100</v>
      </c>
      <c r="G7">
        <v>98.113207547169893</v>
      </c>
      <c r="H7">
        <v>97.130172823846635</v>
      </c>
      <c r="I7">
        <v>96.53295280376301</v>
      </c>
      <c r="J7">
        <v>94.897204164684709</v>
      </c>
      <c r="K7">
        <v>93.380371016331196</v>
      </c>
      <c r="L7">
        <v>87.34210665398237</v>
      </c>
      <c r="M7">
        <v>76.795623909941426</v>
      </c>
      <c r="N7">
        <v>70.493102901537995</v>
      </c>
      <c r="O7">
        <v>66.362084456424995</v>
      </c>
      <c r="P7">
        <v>62.0878019132182</v>
      </c>
      <c r="Q7">
        <v>59.796411394746698</v>
      </c>
      <c r="R7">
        <v>57.872205485967939</v>
      </c>
    </row>
    <row r="8" spans="1:18" x14ac:dyDescent="0.35">
      <c r="A8" t="s">
        <v>14</v>
      </c>
      <c r="B8">
        <v>60</v>
      </c>
      <c r="C8" t="s">
        <v>18</v>
      </c>
      <c r="D8">
        <v>17.13</v>
      </c>
      <c r="E8">
        <v>18.170000000000002</v>
      </c>
      <c r="F8">
        <v>100</v>
      </c>
      <c r="G8">
        <v>98.339831143011978</v>
      </c>
      <c r="H8">
        <v>97.500710025560863</v>
      </c>
      <c r="I8">
        <v>96.338850016782345</v>
      </c>
      <c r="J8">
        <v>93.121788748031179</v>
      </c>
      <c r="K8">
        <v>83.186594717409761</v>
      </c>
      <c r="L8">
        <v>75.9806614856316</v>
      </c>
      <c r="M8">
        <v>66.343988019932297</v>
      </c>
      <c r="N8">
        <v>62.291187937311122</v>
      </c>
      <c r="O8">
        <v>59.050889468384362</v>
      </c>
      <c r="P8">
        <v>55.987175647414197</v>
      </c>
      <c r="Q8">
        <v>54.537708812062618</v>
      </c>
      <c r="R8">
        <v>53.370684981022848</v>
      </c>
    </row>
    <row r="9" spans="1:18" x14ac:dyDescent="0.35">
      <c r="A9" t="s">
        <v>14</v>
      </c>
      <c r="B9">
        <v>60</v>
      </c>
      <c r="C9" t="s">
        <v>19</v>
      </c>
      <c r="D9">
        <v>25.36</v>
      </c>
      <c r="E9">
        <v>18.72</v>
      </c>
      <c r="F9">
        <v>100</v>
      </c>
      <c r="G9">
        <v>98.148289263125704</v>
      </c>
      <c r="H9">
        <v>97.208463511900149</v>
      </c>
      <c r="I9">
        <v>94.602352104447533</v>
      </c>
      <c r="J9">
        <v>90.258833092026592</v>
      </c>
      <c r="K9">
        <v>68.894307704031036</v>
      </c>
      <c r="L9">
        <v>60.44603622139244</v>
      </c>
      <c r="M9">
        <v>56.072524067159399</v>
      </c>
      <c r="N9">
        <v>53.567377886154098</v>
      </c>
      <c r="O9">
        <v>50.303919327389998</v>
      </c>
      <c r="P9">
        <v>47.404625466737002</v>
      </c>
      <c r="Q9">
        <v>46.003200487693249</v>
      </c>
      <c r="R9">
        <v>45.406284132185142</v>
      </c>
    </row>
    <row r="10" spans="1:18" x14ac:dyDescent="0.35">
      <c r="A10" t="s">
        <v>14</v>
      </c>
      <c r="B10">
        <v>60</v>
      </c>
      <c r="C10" t="s">
        <v>20</v>
      </c>
      <c r="D10">
        <v>0.25900000000000001</v>
      </c>
      <c r="E10">
        <v>9.2100000000000009</v>
      </c>
      <c r="F10">
        <v>100</v>
      </c>
      <c r="G10">
        <v>98.048483000457608</v>
      </c>
      <c r="H10">
        <v>96.69665091223267</v>
      </c>
      <c r="I10">
        <v>96.554352797682654</v>
      </c>
      <c r="J10">
        <v>96.23418203994504</v>
      </c>
      <c r="K10">
        <v>94.648574477816751</v>
      </c>
      <c r="L10">
        <v>92.813215937388804</v>
      </c>
      <c r="M10">
        <v>89.199801799054697</v>
      </c>
      <c r="N10">
        <v>86.502007419830306</v>
      </c>
      <c r="O10">
        <v>82.837144889973004</v>
      </c>
      <c r="P10">
        <v>79.6761498195863</v>
      </c>
      <c r="Q10">
        <v>77.984448848909935</v>
      </c>
      <c r="R10">
        <v>76.886720536667241</v>
      </c>
    </row>
    <row r="11" spans="1:18" x14ac:dyDescent="0.35">
      <c r="A11" t="s">
        <v>14</v>
      </c>
      <c r="B11">
        <v>60</v>
      </c>
      <c r="C11" t="s">
        <v>21</v>
      </c>
      <c r="D11">
        <v>5.9340000000000002</v>
      </c>
      <c r="E11">
        <v>15.2</v>
      </c>
      <c r="F11">
        <v>100</v>
      </c>
      <c r="G11">
        <v>98.295790883883328</v>
      </c>
      <c r="H11">
        <v>96.435803969218426</v>
      </c>
      <c r="I11">
        <v>95.716110539925992</v>
      </c>
      <c r="J11">
        <v>94.429385923918261</v>
      </c>
      <c r="K11">
        <v>86.332055955385314</v>
      </c>
      <c r="L11">
        <v>76.053836807178243</v>
      </c>
      <c r="M11">
        <v>69.193662959155105</v>
      </c>
      <c r="N11">
        <v>66.124559927719105</v>
      </c>
      <c r="O11">
        <v>63.717110633392501</v>
      </c>
      <c r="P11">
        <v>61.150017135557803</v>
      </c>
      <c r="Q11">
        <v>60.005608000747834</v>
      </c>
      <c r="R11">
        <v>59.074056765429738</v>
      </c>
    </row>
    <row r="12" spans="1:18" x14ac:dyDescent="0.35">
      <c r="A12" t="s">
        <v>14</v>
      </c>
      <c r="B12">
        <v>60</v>
      </c>
      <c r="C12" t="s">
        <v>22</v>
      </c>
      <c r="D12">
        <v>2.9569999999999999</v>
      </c>
      <c r="E12">
        <v>16.27</v>
      </c>
      <c r="F12">
        <v>100</v>
      </c>
      <c r="G12">
        <v>98.616399732581371</v>
      </c>
      <c r="H12">
        <v>98.380955149260203</v>
      </c>
      <c r="I12">
        <v>97.962387001133735</v>
      </c>
      <c r="J12">
        <v>97.250239804668198</v>
      </c>
      <c r="K12">
        <v>95.456791558875622</v>
      </c>
      <c r="L12">
        <v>90.346684882132394</v>
      </c>
      <c r="M12">
        <v>82.725082114931794</v>
      </c>
      <c r="N12">
        <v>78.278057146179037</v>
      </c>
      <c r="O12">
        <v>75.264305438479099</v>
      </c>
      <c r="P12">
        <v>72.809580269162495</v>
      </c>
      <c r="Q12">
        <v>71.607040083713699</v>
      </c>
      <c r="R12">
        <v>70.639188442868317</v>
      </c>
    </row>
    <row r="13" spans="1:18" x14ac:dyDescent="0.35">
      <c r="A13" t="s">
        <v>14</v>
      </c>
      <c r="B13">
        <v>60</v>
      </c>
      <c r="C13" t="s">
        <v>23</v>
      </c>
      <c r="D13">
        <v>2.145</v>
      </c>
      <c r="E13">
        <v>16.75</v>
      </c>
      <c r="F13">
        <v>100</v>
      </c>
      <c r="G13">
        <v>97.827769179747918</v>
      </c>
      <c r="H13">
        <v>97.399403051072383</v>
      </c>
      <c r="I13">
        <v>96.838381605129442</v>
      </c>
      <c r="J13">
        <v>96.293942073844889</v>
      </c>
      <c r="K13">
        <v>96.07837718328544</v>
      </c>
      <c r="L13">
        <v>93.152332522661993</v>
      </c>
      <c r="M13">
        <v>86.652885253150501</v>
      </c>
      <c r="N13">
        <v>82.395533937652004</v>
      </c>
      <c r="O13">
        <v>77.597833296484623</v>
      </c>
      <c r="P13">
        <v>72.8176431571965</v>
      </c>
      <c r="Q13">
        <v>70.171899181958992</v>
      </c>
      <c r="R13">
        <v>68.082577934998966</v>
      </c>
    </row>
    <row r="14" spans="1:18" x14ac:dyDescent="0.35">
      <c r="A14" t="s">
        <v>24</v>
      </c>
      <c r="B14" t="s">
        <v>25</v>
      </c>
      <c r="C14" t="s">
        <v>26</v>
      </c>
      <c r="D14">
        <v>2.59</v>
      </c>
      <c r="E14">
        <v>18.941287589680972</v>
      </c>
      <c r="F14">
        <v>100</v>
      </c>
      <c r="G14">
        <v>98.300205277124093</v>
      </c>
      <c r="H14">
        <v>97.724427977769878</v>
      </c>
      <c r="I14">
        <v>96.865768787863644</v>
      </c>
      <c r="J14">
        <v>92.334651779902785</v>
      </c>
      <c r="K14">
        <v>87.796024633254817</v>
      </c>
      <c r="L14">
        <v>85.405297151153931</v>
      </c>
      <c r="M14">
        <v>81.06193361037397</v>
      </c>
      <c r="N14">
        <v>78.869243478696205</v>
      </c>
      <c r="O14">
        <v>75.315120412556894</v>
      </c>
      <c r="P14">
        <v>70.248956090722402</v>
      </c>
      <c r="Q14">
        <v>67.105592549942457</v>
      </c>
      <c r="R14">
        <v>64.474540629850338</v>
      </c>
    </row>
    <row r="15" spans="1:18" x14ac:dyDescent="0.35">
      <c r="A15" t="s">
        <v>24</v>
      </c>
      <c r="B15" t="s">
        <v>25</v>
      </c>
      <c r="C15" t="s">
        <v>27</v>
      </c>
      <c r="D15">
        <v>0.21199999999999999</v>
      </c>
      <c r="E15">
        <v>14.60250967426833</v>
      </c>
      <c r="F15">
        <v>100</v>
      </c>
      <c r="G15">
        <v>98.151707348324777</v>
      </c>
      <c r="H15">
        <v>98.004356461016059</v>
      </c>
      <c r="I15">
        <v>97.520661157024875</v>
      </c>
      <c r="J15">
        <v>97.068998654622462</v>
      </c>
      <c r="K15">
        <v>96.844769043500506</v>
      </c>
      <c r="L15">
        <v>96.216926132359603</v>
      </c>
      <c r="M15">
        <v>94.902306361714395</v>
      </c>
      <c r="N15">
        <v>93.874463450573501</v>
      </c>
      <c r="O15">
        <v>91.768223460823904</v>
      </c>
      <c r="P15">
        <v>89.235537190082795</v>
      </c>
      <c r="Q15">
        <v>87.5931193542188</v>
      </c>
      <c r="R15">
        <v>85.854314818373979</v>
      </c>
    </row>
    <row r="16" spans="1:18" x14ac:dyDescent="0.35">
      <c r="A16" t="s">
        <v>24</v>
      </c>
      <c r="B16" t="s">
        <v>25</v>
      </c>
      <c r="C16" t="s">
        <v>28</v>
      </c>
      <c r="D16">
        <v>0.23699999999999999</v>
      </c>
      <c r="E16">
        <v>13.159637253490731</v>
      </c>
      <c r="F16">
        <v>100</v>
      </c>
      <c r="G16">
        <v>97.864871711359697</v>
      </c>
      <c r="H16">
        <v>97.524698729779729</v>
      </c>
      <c r="I16">
        <v>96.840733905113481</v>
      </c>
      <c r="J16">
        <v>96.616364491730963</v>
      </c>
      <c r="K16">
        <v>96.294285817681896</v>
      </c>
      <c r="L16">
        <v>96.019252343212841</v>
      </c>
      <c r="M16">
        <v>95.356038070423097</v>
      </c>
      <c r="N16">
        <v>94.737212752868004</v>
      </c>
      <c r="O16">
        <v>93.474961097238804</v>
      </c>
      <c r="P16">
        <v>91.573499077190306</v>
      </c>
      <c r="Q16">
        <v>90.340296022871101</v>
      </c>
      <c r="R16">
        <v>89.005898744254964</v>
      </c>
    </row>
    <row r="17" spans="1:18" x14ac:dyDescent="0.35">
      <c r="A17" t="s">
        <v>24</v>
      </c>
      <c r="B17" t="s">
        <v>25</v>
      </c>
      <c r="C17" t="s">
        <v>29</v>
      </c>
      <c r="D17">
        <v>6.0999999999999999E-2</v>
      </c>
      <c r="E17">
        <v>7.5540960092102374</v>
      </c>
      <c r="F17">
        <v>100</v>
      </c>
      <c r="G17">
        <v>95.845440494590434</v>
      </c>
      <c r="H17">
        <v>95.332302936630711</v>
      </c>
      <c r="I17">
        <v>95.097372488407828</v>
      </c>
      <c r="J17">
        <v>95.029366306027541</v>
      </c>
      <c r="K17">
        <v>94.911901081916312</v>
      </c>
      <c r="L17">
        <v>94.516228748067832</v>
      </c>
      <c r="M17">
        <v>94.003091190108108</v>
      </c>
      <c r="N17">
        <v>93.6976816074189</v>
      </c>
      <c r="O17">
        <v>93.041576506955096</v>
      </c>
      <c r="P17">
        <v>92.2160741885627</v>
      </c>
      <c r="Q17">
        <v>91.378670788253203</v>
      </c>
      <c r="R17">
        <v>90.707882534775806</v>
      </c>
    </row>
    <row r="18" spans="1:18" x14ac:dyDescent="0.35">
      <c r="A18" t="s">
        <v>24</v>
      </c>
      <c r="B18" t="s">
        <v>25</v>
      </c>
      <c r="C18" t="s">
        <v>30</v>
      </c>
      <c r="D18">
        <v>0.111</v>
      </c>
      <c r="E18">
        <v>10.881603068904241</v>
      </c>
      <c r="F18">
        <v>100</v>
      </c>
      <c r="G18">
        <v>98.160349105844134</v>
      </c>
      <c r="H18">
        <v>97.206297595619048</v>
      </c>
      <c r="I18">
        <v>96.923932574655623</v>
      </c>
      <c r="J18">
        <v>96.889706511508322</v>
      </c>
      <c r="K18">
        <v>96.277915632754201</v>
      </c>
      <c r="L18">
        <v>95.906263369555802</v>
      </c>
      <c r="M18">
        <v>94.425429964918052</v>
      </c>
      <c r="N18">
        <v>93.605116796440498</v>
      </c>
      <c r="O18">
        <v>92.506682638829403</v>
      </c>
      <c r="P18">
        <v>91.253675023530207</v>
      </c>
      <c r="Q18">
        <v>90.395311029348591</v>
      </c>
      <c r="R18">
        <v>89.419868229656771</v>
      </c>
    </row>
    <row r="19" spans="1:18" x14ac:dyDescent="0.35">
      <c r="A19" t="s">
        <v>24</v>
      </c>
      <c r="B19" t="s">
        <v>25</v>
      </c>
      <c r="C19" t="s">
        <v>31</v>
      </c>
      <c r="D19">
        <v>4.2249999999999996</v>
      </c>
      <c r="E19">
        <v>19.378807022837414</v>
      </c>
      <c r="F19">
        <v>100</v>
      </c>
      <c r="G19">
        <v>98.815171641972682</v>
      </c>
      <c r="H19">
        <v>98.097462472325731</v>
      </c>
      <c r="I19">
        <v>95.89081088971605</v>
      </c>
      <c r="J19">
        <v>92.034644673138274</v>
      </c>
      <c r="K19">
        <v>85.96696104907187</v>
      </c>
      <c r="L19">
        <v>80.655913193684199</v>
      </c>
      <c r="M19">
        <v>76.726686616548804</v>
      </c>
      <c r="N19">
        <v>73.835634868501103</v>
      </c>
      <c r="O19">
        <v>68.929129260637893</v>
      </c>
      <c r="P19">
        <v>64.210887283166699</v>
      </c>
      <c r="Q19">
        <v>61.810573437462004</v>
      </c>
      <c r="R19">
        <v>60.367856360849579</v>
      </c>
    </row>
    <row r="20" spans="1:18" x14ac:dyDescent="0.35">
      <c r="A20" t="s">
        <v>24</v>
      </c>
      <c r="B20" t="s">
        <v>25</v>
      </c>
      <c r="C20" t="s">
        <v>32</v>
      </c>
      <c r="D20">
        <v>1.2290000000000001</v>
      </c>
      <c r="E20">
        <v>19.187540974328275</v>
      </c>
      <c r="F20">
        <v>100</v>
      </c>
      <c r="G20">
        <v>98.487485598019219</v>
      </c>
      <c r="H20">
        <v>98.078101635084408</v>
      </c>
      <c r="I20">
        <v>97.359841149216749</v>
      </c>
      <c r="J20">
        <v>95.827715539430756</v>
      </c>
      <c r="K20">
        <v>95.129066261368322</v>
      </c>
      <c r="L20">
        <v>93.209619297428461</v>
      </c>
      <c r="M20">
        <v>90.753315519819537</v>
      </c>
      <c r="N20">
        <v>88.826514352952643</v>
      </c>
      <c r="O20">
        <v>85.340965361704306</v>
      </c>
      <c r="P20">
        <v>81.803172112862597</v>
      </c>
      <c r="Q20">
        <v>79.751599539136507</v>
      </c>
      <c r="R20">
        <v>77.70695952736996</v>
      </c>
    </row>
    <row r="21" spans="1:18" x14ac:dyDescent="0.35">
      <c r="A21" t="s">
        <v>24</v>
      </c>
      <c r="B21" t="s">
        <v>25</v>
      </c>
      <c r="C21" t="s">
        <v>33</v>
      </c>
      <c r="D21">
        <v>1.4490000000000001</v>
      </c>
      <c r="E21">
        <v>18.105803421352906</v>
      </c>
      <c r="F21">
        <v>100</v>
      </c>
      <c r="G21">
        <v>97.964883245843197</v>
      </c>
      <c r="H21">
        <v>97.548550593467994</v>
      </c>
      <c r="I21">
        <v>96.790876884487119</v>
      </c>
      <c r="J21">
        <v>96.009929921646716</v>
      </c>
      <c r="K21">
        <v>94.432520493393</v>
      </c>
      <c r="L21">
        <v>92.151741615163814</v>
      </c>
      <c r="M21">
        <v>88.435778748933416</v>
      </c>
      <c r="N21">
        <v>85.358537405290889</v>
      </c>
      <c r="O21">
        <v>81.402834165136795</v>
      </c>
      <c r="P21">
        <v>76.948048925551504</v>
      </c>
      <c r="Q21">
        <v>74.456310930671521</v>
      </c>
      <c r="R21">
        <v>72.235008145638915</v>
      </c>
    </row>
    <row r="22" spans="1:18" x14ac:dyDescent="0.35">
      <c r="A22" t="s">
        <v>24</v>
      </c>
      <c r="B22" t="s">
        <v>25</v>
      </c>
      <c r="C22" t="s">
        <v>34</v>
      </c>
      <c r="D22">
        <v>1.2450000000000001</v>
      </c>
      <c r="E22">
        <v>17.772943983723462</v>
      </c>
      <c r="F22">
        <v>100</v>
      </c>
      <c r="G22">
        <v>97.94183796223659</v>
      </c>
      <c r="H22">
        <v>97.531251634499881</v>
      </c>
      <c r="I22">
        <v>96.804226162456203</v>
      </c>
      <c r="J22">
        <v>95.538469585229521</v>
      </c>
      <c r="K22">
        <v>93.919661070139796</v>
      </c>
      <c r="L22">
        <v>90.961870390710871</v>
      </c>
      <c r="M22">
        <v>86.178670432554142</v>
      </c>
      <c r="N22">
        <v>82.629844657147501</v>
      </c>
      <c r="O22">
        <v>79.018008264030698</v>
      </c>
      <c r="P22">
        <v>74.844777446519302</v>
      </c>
      <c r="Q22">
        <v>72.555724671792603</v>
      </c>
      <c r="R22">
        <v>70.382865212615897</v>
      </c>
    </row>
    <row r="23" spans="1:18" x14ac:dyDescent="0.35">
      <c r="A23" t="s">
        <v>24</v>
      </c>
      <c r="B23" t="s">
        <v>25</v>
      </c>
      <c r="C23" t="s">
        <v>35</v>
      </c>
      <c r="D23">
        <v>0.88300000000000001</v>
      </c>
      <c r="E23">
        <v>17.9249681559278</v>
      </c>
      <c r="F23">
        <v>100</v>
      </c>
      <c r="G23">
        <v>99.100091334013953</v>
      </c>
      <c r="H23">
        <v>97.684414119164089</v>
      </c>
      <c r="I23">
        <v>97.141782625046986</v>
      </c>
      <c r="J23">
        <v>96.161285123300985</v>
      </c>
      <c r="K23">
        <v>94.718744963197864</v>
      </c>
      <c r="L23">
        <v>92.921613925750819</v>
      </c>
      <c r="M23">
        <v>90.382716381024096</v>
      </c>
      <c r="N23">
        <v>88.504647289528904</v>
      </c>
      <c r="O23">
        <v>85.304572073282102</v>
      </c>
      <c r="P23">
        <v>81.910825766937094</v>
      </c>
      <c r="Q23">
        <v>80.188577875678362</v>
      </c>
      <c r="R23">
        <v>78.563369687852529</v>
      </c>
    </row>
    <row r="24" spans="1:18" x14ac:dyDescent="0.35">
      <c r="A24" t="s">
        <v>24</v>
      </c>
      <c r="B24" t="s">
        <v>25</v>
      </c>
      <c r="C24" t="s">
        <v>36</v>
      </c>
      <c r="D24">
        <v>0.33100000000000002</v>
      </c>
      <c r="E24">
        <v>15.018732615565103</v>
      </c>
      <c r="F24">
        <v>100</v>
      </c>
      <c r="G24">
        <v>97.532651455546741</v>
      </c>
      <c r="H24">
        <v>96.981904012588515</v>
      </c>
      <c r="I24">
        <v>96.185680566483029</v>
      </c>
      <c r="J24">
        <v>95.115656963021223</v>
      </c>
      <c r="K24">
        <v>94.287962234461077</v>
      </c>
      <c r="L24">
        <v>93.992132179386346</v>
      </c>
      <c r="M24">
        <v>92.503933910306699</v>
      </c>
      <c r="N24">
        <v>90.933910306844894</v>
      </c>
      <c r="O24">
        <v>87.966247049567201</v>
      </c>
      <c r="P24">
        <v>83.892604248623002</v>
      </c>
      <c r="Q24">
        <v>81.284028324154107</v>
      </c>
      <c r="R24">
        <v>78.602675059008561</v>
      </c>
    </row>
  </sheetData>
  <mergeCells count="2">
    <mergeCell ref="F1:R1"/>
    <mergeCell ref="F3:R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Q83"/>
  <sheetViews>
    <sheetView zoomScale="78" zoomScaleNormal="70" workbookViewId="0">
      <pane ySplit="3" topLeftCell="A4" activePane="bottomLeft" state="frozen"/>
      <selection pane="bottomLeft" activeCell="E4" sqref="E4:E83"/>
    </sheetView>
  </sheetViews>
  <sheetFormatPr defaultRowHeight="14.5" x14ac:dyDescent="0.35"/>
  <cols>
    <col min="1" max="1" width="15.453125" bestFit="1" customWidth="1"/>
  </cols>
  <sheetData>
    <row r="1" spans="1:17" x14ac:dyDescent="0.35">
      <c r="A1" s="182" t="s">
        <v>0</v>
      </c>
      <c r="B1" s="182" t="s">
        <v>43</v>
      </c>
      <c r="C1" s="182" t="s">
        <v>49</v>
      </c>
      <c r="D1" s="180" t="s">
        <v>44</v>
      </c>
      <c r="E1" s="182" t="s">
        <v>11</v>
      </c>
      <c r="F1" s="182" t="s">
        <v>12</v>
      </c>
      <c r="G1" s="179" t="s">
        <v>45</v>
      </c>
      <c r="H1" s="179"/>
      <c r="I1" s="179"/>
      <c r="J1" s="179"/>
      <c r="K1" s="179"/>
      <c r="L1" s="179"/>
      <c r="M1" s="179"/>
      <c r="N1" s="179"/>
      <c r="O1" s="179"/>
      <c r="P1" s="179"/>
      <c r="Q1" s="180" t="s">
        <v>46</v>
      </c>
    </row>
    <row r="2" spans="1:17" x14ac:dyDescent="0.35">
      <c r="A2" s="182"/>
      <c r="B2" s="182"/>
      <c r="C2" s="182"/>
      <c r="D2" s="180"/>
      <c r="E2" s="182"/>
      <c r="F2" s="182"/>
      <c r="G2" s="17">
        <v>1E-3</v>
      </c>
      <c r="H2" s="18">
        <v>1.6E-2</v>
      </c>
      <c r="I2" s="18">
        <v>2.7000000000000003E-2</v>
      </c>
      <c r="J2" s="18">
        <v>4.7E-2</v>
      </c>
      <c r="K2" s="18">
        <v>8.1000000000000003E-2</v>
      </c>
      <c r="L2" s="18">
        <v>0.13899999999999998</v>
      </c>
      <c r="M2" s="18">
        <v>0.23799999999999999</v>
      </c>
      <c r="N2" s="18">
        <v>0.40599999999999997</v>
      </c>
      <c r="O2" s="18">
        <v>0.7</v>
      </c>
      <c r="P2" s="18">
        <v>1.2</v>
      </c>
      <c r="Q2" s="180"/>
    </row>
    <row r="3" spans="1:17" x14ac:dyDescent="0.35">
      <c r="A3" s="182"/>
      <c r="B3" s="182"/>
      <c r="C3" s="182"/>
      <c r="D3" s="180"/>
      <c r="E3" s="182"/>
      <c r="F3" s="182"/>
      <c r="G3" s="181" t="s">
        <v>47</v>
      </c>
      <c r="H3" s="181"/>
      <c r="I3" s="181"/>
      <c r="J3" s="181"/>
      <c r="K3" s="181"/>
      <c r="L3" s="181"/>
      <c r="M3" s="181"/>
      <c r="N3" s="181"/>
      <c r="O3" s="181"/>
      <c r="P3" s="181"/>
      <c r="Q3" s="180"/>
    </row>
    <row r="4" spans="1:17" x14ac:dyDescent="0.35">
      <c r="A4" s="73" t="s">
        <v>48</v>
      </c>
      <c r="B4" s="73">
        <v>1</v>
      </c>
      <c r="C4" s="72" t="s">
        <v>90</v>
      </c>
      <c r="D4" s="73">
        <v>1</v>
      </c>
      <c r="E4" s="74">
        <v>38.140999999999998</v>
      </c>
      <c r="F4" s="75">
        <v>36.450000000000003</v>
      </c>
      <c r="G4" s="76">
        <v>100</v>
      </c>
      <c r="H4" s="73">
        <v>96.13</v>
      </c>
      <c r="I4" s="73">
        <v>95.13</v>
      </c>
      <c r="J4" s="73">
        <v>93.1</v>
      </c>
      <c r="K4" s="73">
        <v>89.29</v>
      </c>
      <c r="L4" s="73">
        <v>81.099999999999994</v>
      </c>
      <c r="M4" s="73">
        <v>72.040000000000006</v>
      </c>
      <c r="N4" s="73">
        <v>64.739999999999995</v>
      </c>
      <c r="O4" s="73">
        <v>59.34</v>
      </c>
      <c r="P4" s="73">
        <v>56.31</v>
      </c>
      <c r="Q4" s="77"/>
    </row>
    <row r="5" spans="1:17" x14ac:dyDescent="0.35">
      <c r="A5" s="73" t="s">
        <v>48</v>
      </c>
      <c r="B5" s="73">
        <v>1</v>
      </c>
      <c r="C5" s="72" t="s">
        <v>90</v>
      </c>
      <c r="D5" s="73">
        <v>2</v>
      </c>
      <c r="E5" s="75">
        <v>16.763000000000002</v>
      </c>
      <c r="F5" s="75">
        <v>35.78</v>
      </c>
      <c r="G5" s="76">
        <v>100</v>
      </c>
      <c r="H5" s="73">
        <v>96.28</v>
      </c>
      <c r="I5" s="73">
        <v>95.4</v>
      </c>
      <c r="J5" s="73">
        <v>94.5</v>
      </c>
      <c r="K5" s="73">
        <v>92.4</v>
      </c>
      <c r="L5" s="73">
        <v>88.74</v>
      </c>
      <c r="M5" s="73">
        <v>79.58</v>
      </c>
      <c r="N5" s="73">
        <v>71.16</v>
      </c>
      <c r="O5" s="73">
        <v>65.42</v>
      </c>
      <c r="P5" s="73">
        <v>62.01</v>
      </c>
      <c r="Q5" s="77"/>
    </row>
    <row r="6" spans="1:17" x14ac:dyDescent="0.35">
      <c r="A6" s="73" t="s">
        <v>48</v>
      </c>
      <c r="B6" s="73">
        <v>1</v>
      </c>
      <c r="C6" s="72" t="s">
        <v>90</v>
      </c>
      <c r="D6" s="73">
        <v>3</v>
      </c>
      <c r="E6" s="75">
        <v>12.314</v>
      </c>
      <c r="F6" s="75">
        <v>34</v>
      </c>
      <c r="G6" s="76">
        <v>100</v>
      </c>
      <c r="H6" s="73">
        <v>97.49</v>
      </c>
      <c r="I6" s="73">
        <v>96.49</v>
      </c>
      <c r="J6" s="73">
        <v>95.23</v>
      </c>
      <c r="K6" s="73">
        <v>93.53</v>
      </c>
      <c r="L6" s="73">
        <v>89.53</v>
      </c>
      <c r="M6" s="73">
        <v>82.04</v>
      </c>
      <c r="N6" s="73">
        <v>72.66</v>
      </c>
      <c r="O6" s="73">
        <v>65.900000000000006</v>
      </c>
      <c r="P6" s="73">
        <v>62.9</v>
      </c>
      <c r="Q6" s="77"/>
    </row>
    <row r="7" spans="1:17" x14ac:dyDescent="0.35">
      <c r="A7" s="73" t="s">
        <v>48</v>
      </c>
      <c r="B7" s="73">
        <v>1</v>
      </c>
      <c r="C7" s="72" t="s">
        <v>90</v>
      </c>
      <c r="D7" s="73">
        <v>4</v>
      </c>
      <c r="E7" s="74">
        <v>50.798999999999999</v>
      </c>
      <c r="F7" s="75">
        <v>36.770000000000003</v>
      </c>
      <c r="G7" s="76">
        <v>100</v>
      </c>
      <c r="H7" s="73">
        <v>94.43</v>
      </c>
      <c r="I7" s="73">
        <v>93.4</v>
      </c>
      <c r="J7" s="73">
        <v>91.48</v>
      </c>
      <c r="K7" s="73">
        <v>85.23</v>
      </c>
      <c r="L7" s="73">
        <v>75.489999999999995</v>
      </c>
      <c r="M7" s="73">
        <v>66.59</v>
      </c>
      <c r="N7" s="73">
        <v>60.4</v>
      </c>
      <c r="O7" s="73">
        <v>56.4</v>
      </c>
      <c r="P7" s="73">
        <v>54.3</v>
      </c>
      <c r="Q7" s="77"/>
    </row>
    <row r="8" spans="1:17" x14ac:dyDescent="0.35">
      <c r="A8" s="73" t="s">
        <v>48</v>
      </c>
      <c r="B8" s="73">
        <v>1</v>
      </c>
      <c r="C8" s="72" t="s">
        <v>90</v>
      </c>
      <c r="D8" s="73">
        <v>5</v>
      </c>
      <c r="E8" s="74">
        <v>38.279000000000003</v>
      </c>
      <c r="F8" s="75">
        <v>37</v>
      </c>
      <c r="G8" s="76">
        <v>100</v>
      </c>
      <c r="H8" s="73">
        <v>94.7</v>
      </c>
      <c r="I8" s="73">
        <v>93.7</v>
      </c>
      <c r="J8" s="73">
        <v>92.25</v>
      </c>
      <c r="K8" s="73">
        <v>89.04</v>
      </c>
      <c r="L8" s="73">
        <v>79.349999999999994</v>
      </c>
      <c r="M8" s="73">
        <v>69.12</v>
      </c>
      <c r="N8" s="73">
        <v>61.31</v>
      </c>
      <c r="O8" s="73">
        <v>56.15</v>
      </c>
      <c r="P8" s="73">
        <v>53.15</v>
      </c>
      <c r="Q8" s="77"/>
    </row>
    <row r="9" spans="1:17" x14ac:dyDescent="0.35">
      <c r="A9" s="73" t="s">
        <v>48</v>
      </c>
      <c r="B9" s="73">
        <v>1</v>
      </c>
      <c r="C9" s="72" t="s">
        <v>90</v>
      </c>
      <c r="D9" s="73">
        <v>6</v>
      </c>
      <c r="E9" s="74">
        <v>165.04599999999999</v>
      </c>
      <c r="F9" s="75">
        <v>38.369999999999997</v>
      </c>
      <c r="G9" s="76">
        <v>100</v>
      </c>
      <c r="H9" s="73">
        <v>97.2</v>
      </c>
      <c r="I9" s="73">
        <v>94.89</v>
      </c>
      <c r="J9" s="73">
        <v>87.19</v>
      </c>
      <c r="K9" s="73">
        <v>74.05</v>
      </c>
      <c r="L9" s="73">
        <v>61.29</v>
      </c>
      <c r="M9" s="73">
        <v>51.32</v>
      </c>
      <c r="N9" s="73">
        <v>43.95</v>
      </c>
      <c r="O9" s="73">
        <v>38.44</v>
      </c>
      <c r="P9" s="73">
        <v>34.54</v>
      </c>
      <c r="Q9" s="77"/>
    </row>
    <row r="10" spans="1:17" x14ac:dyDescent="0.35">
      <c r="A10" s="73" t="s">
        <v>48</v>
      </c>
      <c r="B10" s="73">
        <v>1</v>
      </c>
      <c r="C10" s="72" t="s">
        <v>90</v>
      </c>
      <c r="D10" s="73">
        <v>7</v>
      </c>
      <c r="E10" s="75">
        <v>19.3626</v>
      </c>
      <c r="F10" s="75">
        <v>36.29</v>
      </c>
      <c r="G10" s="76">
        <v>100</v>
      </c>
      <c r="H10" s="73">
        <v>97.03</v>
      </c>
      <c r="I10" s="73">
        <v>96.03</v>
      </c>
      <c r="J10" s="73">
        <v>94.74</v>
      </c>
      <c r="K10" s="73">
        <v>92.08</v>
      </c>
      <c r="L10" s="73">
        <v>85.11</v>
      </c>
      <c r="M10" s="73">
        <v>74.040000000000006</v>
      </c>
      <c r="N10" s="73">
        <v>65.66</v>
      </c>
      <c r="O10" s="73">
        <v>59.26</v>
      </c>
      <c r="P10" s="73">
        <v>54.67</v>
      </c>
      <c r="Q10" s="77"/>
    </row>
    <row r="11" spans="1:17" x14ac:dyDescent="0.35">
      <c r="A11" s="73" t="s">
        <v>48</v>
      </c>
      <c r="B11" s="73">
        <v>1</v>
      </c>
      <c r="C11" s="72" t="s">
        <v>90</v>
      </c>
      <c r="D11" s="73">
        <v>8</v>
      </c>
      <c r="E11" s="74">
        <v>41.848999999999997</v>
      </c>
      <c r="F11" s="75">
        <v>36.28</v>
      </c>
      <c r="G11" s="76">
        <v>100</v>
      </c>
      <c r="H11" s="73">
        <v>94.22</v>
      </c>
      <c r="I11" s="73">
        <v>93.22</v>
      </c>
      <c r="J11" s="73">
        <v>91.54</v>
      </c>
      <c r="K11" s="73">
        <v>87.09</v>
      </c>
      <c r="L11" s="73">
        <v>75.56</v>
      </c>
      <c r="M11" s="73">
        <v>63.86</v>
      </c>
      <c r="N11" s="73">
        <v>54.65</v>
      </c>
      <c r="O11" s="73">
        <v>48.12</v>
      </c>
      <c r="P11" s="73">
        <v>45.12</v>
      </c>
      <c r="Q11" s="77"/>
    </row>
    <row r="12" spans="1:17" x14ac:dyDescent="0.35">
      <c r="A12" s="73" t="s">
        <v>48</v>
      </c>
      <c r="B12" s="73">
        <v>2</v>
      </c>
      <c r="C12" s="72" t="s">
        <v>91</v>
      </c>
      <c r="D12" s="73">
        <v>9</v>
      </c>
      <c r="E12" s="74">
        <v>39.237000000000002</v>
      </c>
      <c r="F12" s="75">
        <v>34.450000000000003</v>
      </c>
      <c r="G12" s="76">
        <v>100</v>
      </c>
      <c r="H12" s="73">
        <v>94.67</v>
      </c>
      <c r="I12" s="73">
        <v>93.67</v>
      </c>
      <c r="J12" s="73">
        <v>91.57</v>
      </c>
      <c r="K12" s="73">
        <v>87.96</v>
      </c>
      <c r="L12" s="73">
        <v>81.069999999999993</v>
      </c>
      <c r="M12" s="73">
        <v>71.95</v>
      </c>
      <c r="N12" s="73">
        <v>64.489999999999995</v>
      </c>
      <c r="O12" s="73">
        <v>59.39</v>
      </c>
      <c r="P12" s="73">
        <v>56.39</v>
      </c>
      <c r="Q12" s="77"/>
    </row>
    <row r="13" spans="1:17" x14ac:dyDescent="0.35">
      <c r="A13" s="73" t="s">
        <v>48</v>
      </c>
      <c r="B13" s="73">
        <v>2</v>
      </c>
      <c r="C13" s="72" t="s">
        <v>91</v>
      </c>
      <c r="D13" s="73">
        <v>10</v>
      </c>
      <c r="E13" s="74">
        <v>68.259399999999999</v>
      </c>
      <c r="F13" s="75">
        <v>36.700000000000003</v>
      </c>
      <c r="G13" s="76">
        <v>100</v>
      </c>
      <c r="H13" s="73">
        <v>97.8</v>
      </c>
      <c r="I13" s="73">
        <v>95.93</v>
      </c>
      <c r="J13" s="73">
        <v>92.1</v>
      </c>
      <c r="K13" s="73">
        <v>84.15</v>
      </c>
      <c r="L13" s="73">
        <v>74.790000000000006</v>
      </c>
      <c r="M13" s="73">
        <v>66.27</v>
      </c>
      <c r="N13" s="73">
        <v>60.57</v>
      </c>
      <c r="O13" s="73">
        <v>56.62</v>
      </c>
      <c r="P13" s="73">
        <v>54.09</v>
      </c>
      <c r="Q13" s="77"/>
    </row>
    <row r="14" spans="1:17" x14ac:dyDescent="0.35">
      <c r="A14" s="73" t="s">
        <v>48</v>
      </c>
      <c r="B14" s="73">
        <v>2</v>
      </c>
      <c r="C14" s="72" t="s">
        <v>91</v>
      </c>
      <c r="D14" s="73">
        <v>11</v>
      </c>
      <c r="E14" s="75">
        <v>6.1269999999999998</v>
      </c>
      <c r="F14" s="75">
        <v>35.49</v>
      </c>
      <c r="G14" s="76">
        <v>100</v>
      </c>
      <c r="H14" s="73">
        <v>97.86</v>
      </c>
      <c r="I14" s="73">
        <v>97.2</v>
      </c>
      <c r="J14" s="73">
        <v>96.4</v>
      </c>
      <c r="K14" s="73">
        <v>95.3</v>
      </c>
      <c r="L14" s="73">
        <v>92</v>
      </c>
      <c r="M14" s="73">
        <v>85.91</v>
      </c>
      <c r="N14" s="73">
        <v>78.099999999999994</v>
      </c>
      <c r="O14" s="73">
        <v>73.599999999999994</v>
      </c>
      <c r="P14" s="73">
        <v>71.06</v>
      </c>
      <c r="Q14" s="77"/>
    </row>
    <row r="15" spans="1:17" x14ac:dyDescent="0.35">
      <c r="A15" s="73" t="s">
        <v>48</v>
      </c>
      <c r="B15" s="73">
        <v>2</v>
      </c>
      <c r="C15" s="72" t="s">
        <v>91</v>
      </c>
      <c r="D15" s="73">
        <v>12</v>
      </c>
      <c r="E15" s="75">
        <v>8.2235999999999994</v>
      </c>
      <c r="F15" s="75">
        <v>36.99</v>
      </c>
      <c r="G15" s="76">
        <v>100</v>
      </c>
      <c r="H15" s="73">
        <v>97.01</v>
      </c>
      <c r="I15" s="73">
        <v>96.1</v>
      </c>
      <c r="J15" s="73">
        <v>94.9</v>
      </c>
      <c r="K15" s="73">
        <v>93.39</v>
      </c>
      <c r="L15" s="73">
        <v>90.39</v>
      </c>
      <c r="M15" s="73">
        <v>81.81</v>
      </c>
      <c r="N15" s="73">
        <v>73.06</v>
      </c>
      <c r="O15" s="73">
        <v>65.739999999999995</v>
      </c>
      <c r="P15" s="73">
        <v>61.89</v>
      </c>
      <c r="Q15" s="77"/>
    </row>
    <row r="16" spans="1:17" x14ac:dyDescent="0.35">
      <c r="A16" s="73" t="s">
        <v>48</v>
      </c>
      <c r="B16" s="73">
        <v>2</v>
      </c>
      <c r="C16" s="72" t="s">
        <v>91</v>
      </c>
      <c r="D16" s="73">
        <v>13</v>
      </c>
      <c r="E16" s="75">
        <v>9.8209999999999997</v>
      </c>
      <c r="F16" s="75">
        <v>37.979999999999997</v>
      </c>
      <c r="G16" s="76">
        <v>100</v>
      </c>
      <c r="H16" s="73">
        <v>99.05</v>
      </c>
      <c r="I16" s="73">
        <v>98.1</v>
      </c>
      <c r="J16" s="73">
        <v>97.3</v>
      </c>
      <c r="K16" s="73">
        <v>94.92</v>
      </c>
      <c r="L16" s="73">
        <v>90.64</v>
      </c>
      <c r="M16" s="73">
        <v>82.19</v>
      </c>
      <c r="N16" s="73">
        <v>75.94</v>
      </c>
      <c r="O16" s="73">
        <v>71.66</v>
      </c>
      <c r="P16" s="73">
        <v>68.81</v>
      </c>
      <c r="Q16" s="77"/>
    </row>
    <row r="17" spans="1:17" x14ac:dyDescent="0.35">
      <c r="A17" s="73" t="s">
        <v>48</v>
      </c>
      <c r="B17" s="73">
        <v>2</v>
      </c>
      <c r="C17" s="72" t="s">
        <v>91</v>
      </c>
      <c r="D17" s="73">
        <v>14</v>
      </c>
      <c r="E17" s="75">
        <v>5.2279999999999998</v>
      </c>
      <c r="F17" s="75">
        <v>36.200000000000003</v>
      </c>
      <c r="G17" s="76">
        <v>100</v>
      </c>
      <c r="H17" s="73">
        <v>99.01</v>
      </c>
      <c r="I17" s="73">
        <v>98.5</v>
      </c>
      <c r="J17" s="73">
        <v>97.9</v>
      </c>
      <c r="K17" s="73">
        <v>96.58</v>
      </c>
      <c r="L17" s="73">
        <v>93.46</v>
      </c>
      <c r="M17" s="73">
        <v>86.74</v>
      </c>
      <c r="N17" s="78">
        <v>80.2</v>
      </c>
      <c r="O17" s="73">
        <v>75.650000000000006</v>
      </c>
      <c r="P17" s="73">
        <v>72.61</v>
      </c>
      <c r="Q17" s="77"/>
    </row>
    <row r="18" spans="1:17" x14ac:dyDescent="0.35">
      <c r="A18" s="73" t="s">
        <v>48</v>
      </c>
      <c r="B18" s="73">
        <v>2</v>
      </c>
      <c r="C18" s="72" t="s">
        <v>91</v>
      </c>
      <c r="D18" s="73">
        <v>15</v>
      </c>
      <c r="E18" s="75">
        <v>11.9</v>
      </c>
      <c r="F18" s="75">
        <v>34.89</v>
      </c>
      <c r="G18" s="76">
        <v>100</v>
      </c>
      <c r="H18" s="73">
        <v>96.09</v>
      </c>
      <c r="I18" s="73">
        <v>95.09</v>
      </c>
      <c r="J18" s="73">
        <v>93.38</v>
      </c>
      <c r="K18" s="73">
        <v>90.92</v>
      </c>
      <c r="L18" s="73">
        <v>86.86</v>
      </c>
      <c r="M18" s="73">
        <v>77.900000000000006</v>
      </c>
      <c r="N18" s="78">
        <v>71.23</v>
      </c>
      <c r="O18" s="73">
        <v>66.819999999999993</v>
      </c>
      <c r="P18" s="73">
        <v>64.56</v>
      </c>
      <c r="Q18" s="77"/>
    </row>
    <row r="19" spans="1:17" x14ac:dyDescent="0.35">
      <c r="A19" s="73" t="s">
        <v>48</v>
      </c>
      <c r="B19" s="73">
        <v>2</v>
      </c>
      <c r="C19" s="72" t="s">
        <v>91</v>
      </c>
      <c r="D19" s="73">
        <v>16</v>
      </c>
      <c r="E19" s="75">
        <v>9.3070000000000004</v>
      </c>
      <c r="F19" s="75">
        <v>36.85</v>
      </c>
      <c r="G19" s="76">
        <v>100</v>
      </c>
      <c r="H19" s="73">
        <v>97.5</v>
      </c>
      <c r="I19" s="73">
        <v>96.8</v>
      </c>
      <c r="J19" s="73">
        <v>95.9</v>
      </c>
      <c r="K19" s="73">
        <v>94.69</v>
      </c>
      <c r="L19" s="73">
        <v>92.14</v>
      </c>
      <c r="M19" s="73">
        <v>85.17</v>
      </c>
      <c r="N19" s="78">
        <v>75.760000000000005</v>
      </c>
      <c r="O19" s="73">
        <v>68.66</v>
      </c>
      <c r="P19" s="73">
        <v>64.8</v>
      </c>
      <c r="Q19" s="77"/>
    </row>
    <row r="20" spans="1:17" x14ac:dyDescent="0.35">
      <c r="A20" s="73" t="s">
        <v>48</v>
      </c>
      <c r="B20" s="73">
        <v>2</v>
      </c>
      <c r="C20" s="72" t="s">
        <v>91</v>
      </c>
      <c r="D20" s="73">
        <v>17</v>
      </c>
      <c r="E20" s="74">
        <v>193.91</v>
      </c>
      <c r="F20" s="75">
        <v>38.35</v>
      </c>
      <c r="G20" s="76">
        <v>100</v>
      </c>
      <c r="H20" s="73">
        <v>94.52</v>
      </c>
      <c r="I20" s="73">
        <v>90.52</v>
      </c>
      <c r="J20" s="73">
        <v>79.14</v>
      </c>
      <c r="K20" s="73">
        <v>68</v>
      </c>
      <c r="L20" s="73">
        <v>59.58</v>
      </c>
      <c r="M20" s="73">
        <v>52.47</v>
      </c>
      <c r="N20" s="78">
        <v>47.57</v>
      </c>
      <c r="O20" s="73">
        <v>43.97</v>
      </c>
      <c r="P20" s="73">
        <v>41.41</v>
      </c>
      <c r="Q20" s="77"/>
    </row>
    <row r="21" spans="1:17" x14ac:dyDescent="0.35">
      <c r="A21" s="73" t="s">
        <v>48</v>
      </c>
      <c r="B21" s="73">
        <v>2</v>
      </c>
      <c r="C21" s="72" t="s">
        <v>92</v>
      </c>
      <c r="D21" s="73">
        <v>18</v>
      </c>
      <c r="E21" s="74">
        <v>73.666700000000006</v>
      </c>
      <c r="F21" s="75">
        <v>39.5</v>
      </c>
      <c r="G21" s="76">
        <v>100</v>
      </c>
      <c r="H21" s="73">
        <v>95.47</v>
      </c>
      <c r="I21" s="73">
        <v>94.03</v>
      </c>
      <c r="J21" s="73">
        <v>92.13</v>
      </c>
      <c r="K21" s="73">
        <v>85.54</v>
      </c>
      <c r="L21" s="73">
        <v>74.92</v>
      </c>
      <c r="M21" s="73">
        <v>64.66</v>
      </c>
      <c r="N21" s="78">
        <v>56.32</v>
      </c>
      <c r="O21" s="73">
        <v>50.6</v>
      </c>
      <c r="P21" s="73">
        <v>47.6</v>
      </c>
      <c r="Q21" s="77"/>
    </row>
    <row r="22" spans="1:17" x14ac:dyDescent="0.35">
      <c r="A22" s="73" t="s">
        <v>48</v>
      </c>
      <c r="B22" s="73">
        <v>2</v>
      </c>
      <c r="C22" s="72" t="s">
        <v>92</v>
      </c>
      <c r="D22" s="73">
        <v>19</v>
      </c>
      <c r="E22" s="74">
        <v>872.59400000000005</v>
      </c>
      <c r="F22" s="75">
        <v>36.5</v>
      </c>
      <c r="G22" s="76">
        <v>100</v>
      </c>
      <c r="H22" s="73">
        <v>82.83</v>
      </c>
      <c r="I22" s="73">
        <v>69.150000000000006</v>
      </c>
      <c r="J22" s="73">
        <v>56.51</v>
      </c>
      <c r="K22" s="73">
        <v>45.5</v>
      </c>
      <c r="L22" s="73">
        <v>37.36</v>
      </c>
      <c r="M22" s="73">
        <v>31.88</v>
      </c>
      <c r="N22" s="78">
        <v>28.22</v>
      </c>
      <c r="O22" s="73">
        <v>26.19</v>
      </c>
      <c r="P22" s="73">
        <v>24.76</v>
      </c>
      <c r="Q22" s="77"/>
    </row>
    <row r="23" spans="1:17" x14ac:dyDescent="0.35">
      <c r="A23" s="73" t="s">
        <v>48</v>
      </c>
      <c r="B23" s="73">
        <v>2</v>
      </c>
      <c r="C23" s="72" t="s">
        <v>92</v>
      </c>
      <c r="D23" s="73">
        <v>20</v>
      </c>
      <c r="E23" s="75">
        <v>6.4406999999999996</v>
      </c>
      <c r="F23" s="75">
        <v>36.130000000000003</v>
      </c>
      <c r="G23" s="76">
        <v>100</v>
      </c>
      <c r="H23" s="73">
        <v>98.65</v>
      </c>
      <c r="I23" s="73">
        <v>98.1</v>
      </c>
      <c r="J23" s="73">
        <v>96.9</v>
      </c>
      <c r="K23" s="73">
        <v>95.81</v>
      </c>
      <c r="L23" s="73">
        <v>93</v>
      </c>
      <c r="M23" s="73">
        <v>87.74</v>
      </c>
      <c r="N23" s="78">
        <v>80.2</v>
      </c>
      <c r="O23" s="73">
        <v>72.64</v>
      </c>
      <c r="P23" s="73">
        <v>67.69</v>
      </c>
      <c r="Q23" s="77"/>
    </row>
    <row r="24" spans="1:17" x14ac:dyDescent="0.35">
      <c r="A24" s="73" t="s">
        <v>48</v>
      </c>
      <c r="B24" s="73">
        <v>2</v>
      </c>
      <c r="C24" s="72" t="s">
        <v>92</v>
      </c>
      <c r="D24" s="73">
        <v>21</v>
      </c>
      <c r="E24" s="74">
        <v>46.975999999999999</v>
      </c>
      <c r="F24" s="75">
        <v>38.92</v>
      </c>
      <c r="G24" s="76">
        <v>100</v>
      </c>
      <c r="H24" s="73">
        <v>97.23</v>
      </c>
      <c r="I24" s="73">
        <v>96.67</v>
      </c>
      <c r="J24" s="73">
        <v>95.52</v>
      </c>
      <c r="K24" s="73">
        <v>90.26</v>
      </c>
      <c r="L24" s="73">
        <v>78.77</v>
      </c>
      <c r="M24" s="73">
        <v>69.69</v>
      </c>
      <c r="N24" s="78">
        <v>62.69</v>
      </c>
      <c r="O24" s="73">
        <v>57.93</v>
      </c>
      <c r="P24" s="73">
        <v>54.93</v>
      </c>
      <c r="Q24" s="77"/>
    </row>
    <row r="25" spans="1:17" x14ac:dyDescent="0.35">
      <c r="A25" s="73" t="s">
        <v>48</v>
      </c>
      <c r="B25" s="73">
        <v>2</v>
      </c>
      <c r="C25" s="72" t="s">
        <v>92</v>
      </c>
      <c r="D25" s="73">
        <v>22</v>
      </c>
      <c r="E25" s="74">
        <v>103.875</v>
      </c>
      <c r="F25" s="75">
        <v>37.11</v>
      </c>
      <c r="G25" s="76">
        <v>100</v>
      </c>
      <c r="H25" s="73">
        <v>98.43</v>
      </c>
      <c r="I25" s="73">
        <v>95.69</v>
      </c>
      <c r="J25" s="73">
        <v>89.92</v>
      </c>
      <c r="K25" s="73">
        <v>77.290000000000006</v>
      </c>
      <c r="L25" s="73">
        <v>66.11</v>
      </c>
      <c r="M25" s="73">
        <v>57.43</v>
      </c>
      <c r="N25" s="78">
        <v>50.84</v>
      </c>
      <c r="O25" s="73">
        <v>46.04</v>
      </c>
      <c r="P25" s="73">
        <v>43.04</v>
      </c>
      <c r="Q25" s="77"/>
    </row>
    <row r="26" spans="1:17" x14ac:dyDescent="0.35">
      <c r="A26" s="73" t="s">
        <v>48</v>
      </c>
      <c r="B26" s="73">
        <v>2</v>
      </c>
      <c r="C26" s="72" t="s">
        <v>92</v>
      </c>
      <c r="D26" s="73">
        <v>23</v>
      </c>
      <c r="E26" s="74">
        <v>213.971</v>
      </c>
      <c r="F26" s="75">
        <v>37.049999999999997</v>
      </c>
      <c r="G26" s="76">
        <v>100</v>
      </c>
      <c r="H26" s="73">
        <v>91.06</v>
      </c>
      <c r="I26" s="73">
        <v>88.32</v>
      </c>
      <c r="J26" s="73">
        <v>82.62</v>
      </c>
      <c r="K26" s="73">
        <v>70.42</v>
      </c>
      <c r="L26" s="73">
        <v>58.43</v>
      </c>
      <c r="M26" s="73">
        <v>49.45</v>
      </c>
      <c r="N26" s="78">
        <v>42.87</v>
      </c>
      <c r="O26" s="73">
        <v>38.19</v>
      </c>
      <c r="P26" s="73">
        <v>35.03</v>
      </c>
      <c r="Q26" s="77"/>
    </row>
    <row r="27" spans="1:17" x14ac:dyDescent="0.35">
      <c r="A27" s="73" t="s">
        <v>48</v>
      </c>
      <c r="B27" s="73">
        <v>1</v>
      </c>
      <c r="C27" s="72" t="s">
        <v>93</v>
      </c>
      <c r="D27" s="73">
        <v>24</v>
      </c>
      <c r="E27" s="74">
        <v>63.169199999999996</v>
      </c>
      <c r="F27" s="75">
        <v>36.020000000000003</v>
      </c>
      <c r="G27" s="76">
        <v>100</v>
      </c>
      <c r="H27" s="73">
        <v>96.33</v>
      </c>
      <c r="I27" s="73">
        <v>94.83</v>
      </c>
      <c r="J27" s="73">
        <v>92.19</v>
      </c>
      <c r="K27" s="73">
        <v>83.05</v>
      </c>
      <c r="L27" s="73">
        <v>68.349999999999994</v>
      </c>
      <c r="M27" s="73">
        <v>57.42</v>
      </c>
      <c r="N27" s="78">
        <v>49.22</v>
      </c>
      <c r="O27" s="73">
        <v>43.76</v>
      </c>
      <c r="P27" s="73">
        <v>40.76</v>
      </c>
      <c r="Q27" s="77"/>
    </row>
    <row r="28" spans="1:17" x14ac:dyDescent="0.35">
      <c r="A28" s="73" t="s">
        <v>48</v>
      </c>
      <c r="B28" s="73">
        <v>1</v>
      </c>
      <c r="C28" s="72" t="s">
        <v>93</v>
      </c>
      <c r="D28" s="73">
        <v>25</v>
      </c>
      <c r="E28" s="75">
        <v>8.7720000000000002</v>
      </c>
      <c r="F28" s="75">
        <v>36.65</v>
      </c>
      <c r="G28" s="76">
        <v>100</v>
      </c>
      <c r="H28" s="73">
        <v>97.97</v>
      </c>
      <c r="I28" s="73">
        <v>97.5</v>
      </c>
      <c r="J28" s="73">
        <v>96.5</v>
      </c>
      <c r="K28" s="73">
        <v>95.57</v>
      </c>
      <c r="L28" s="73">
        <v>91.62</v>
      </c>
      <c r="M28" s="19">
        <v>81.459999999999994</v>
      </c>
      <c r="N28" s="73">
        <v>72.98</v>
      </c>
      <c r="O28" s="19">
        <v>67.099999999999994</v>
      </c>
      <c r="P28" s="19">
        <v>64.22</v>
      </c>
      <c r="Q28" s="77"/>
    </row>
    <row r="29" spans="1:17" x14ac:dyDescent="0.35">
      <c r="A29" s="73" t="s">
        <v>48</v>
      </c>
      <c r="B29" s="73">
        <v>1</v>
      </c>
      <c r="C29" s="72" t="s">
        <v>94</v>
      </c>
      <c r="D29" s="73">
        <v>26</v>
      </c>
      <c r="E29" s="74">
        <v>276.43689999999998</v>
      </c>
      <c r="F29" s="75">
        <v>37.01</v>
      </c>
      <c r="G29" s="76">
        <v>100</v>
      </c>
      <c r="H29" s="73">
        <v>94.07</v>
      </c>
      <c r="I29" s="73">
        <v>88.1</v>
      </c>
      <c r="J29" s="73">
        <v>78.180000000000007</v>
      </c>
      <c r="K29" s="73">
        <v>67.06</v>
      </c>
      <c r="L29" s="73">
        <v>58.6</v>
      </c>
      <c r="M29" s="19">
        <v>51.94</v>
      </c>
      <c r="N29" s="73">
        <v>46.3</v>
      </c>
      <c r="O29" s="19">
        <v>42.02</v>
      </c>
      <c r="P29" s="19">
        <v>39.020000000000003</v>
      </c>
      <c r="Q29" s="77"/>
    </row>
    <row r="30" spans="1:17" x14ac:dyDescent="0.35">
      <c r="A30" s="73" t="s">
        <v>48</v>
      </c>
      <c r="B30" s="73">
        <v>1</v>
      </c>
      <c r="C30" s="72" t="s">
        <v>94</v>
      </c>
      <c r="D30" s="73">
        <v>27</v>
      </c>
      <c r="E30" s="74">
        <v>29.881900000000002</v>
      </c>
      <c r="F30" s="75">
        <v>38.729999999999997</v>
      </c>
      <c r="G30" s="76">
        <v>100</v>
      </c>
      <c r="H30" s="73">
        <v>97.6</v>
      </c>
      <c r="I30" s="73">
        <v>96.7</v>
      </c>
      <c r="J30" s="73">
        <v>95.4</v>
      </c>
      <c r="K30" s="73">
        <v>92.01</v>
      </c>
      <c r="L30" s="73">
        <v>83.3</v>
      </c>
      <c r="M30" s="19">
        <v>72.430000000000007</v>
      </c>
      <c r="N30" s="73">
        <v>63.62</v>
      </c>
      <c r="O30" s="19">
        <v>57.1</v>
      </c>
      <c r="P30" s="19">
        <v>53.52</v>
      </c>
      <c r="Q30" s="77"/>
    </row>
    <row r="31" spans="1:17" x14ac:dyDescent="0.35">
      <c r="A31" s="73" t="s">
        <v>48</v>
      </c>
      <c r="B31" s="73">
        <v>1</v>
      </c>
      <c r="C31" s="72" t="s">
        <v>94</v>
      </c>
      <c r="D31" s="73">
        <v>28</v>
      </c>
      <c r="E31" s="74">
        <v>375.00799999999998</v>
      </c>
      <c r="F31" s="75">
        <v>36.43</v>
      </c>
      <c r="G31" s="76">
        <v>100</v>
      </c>
      <c r="H31" s="73">
        <v>88.38</v>
      </c>
      <c r="I31" s="73">
        <v>82.58</v>
      </c>
      <c r="J31" s="73">
        <v>71.12</v>
      </c>
      <c r="K31" s="73">
        <v>60.81</v>
      </c>
      <c r="L31" s="73">
        <v>53.47</v>
      </c>
      <c r="M31" s="19">
        <v>47.01</v>
      </c>
      <c r="N31" s="73">
        <v>41.83</v>
      </c>
      <c r="O31" s="19">
        <v>38.020000000000003</v>
      </c>
      <c r="P31" s="19">
        <v>35.44</v>
      </c>
      <c r="Q31" s="77"/>
    </row>
    <row r="32" spans="1:17" x14ac:dyDescent="0.35">
      <c r="A32" s="73" t="s">
        <v>48</v>
      </c>
      <c r="B32" s="73">
        <v>1</v>
      </c>
      <c r="C32" s="72" t="s">
        <v>94</v>
      </c>
      <c r="D32" s="73">
        <v>29</v>
      </c>
      <c r="E32" s="74">
        <v>306.14699999999999</v>
      </c>
      <c r="F32" s="75">
        <v>37.619999999999997</v>
      </c>
      <c r="G32" s="76">
        <v>100</v>
      </c>
      <c r="H32" s="73">
        <v>92.89</v>
      </c>
      <c r="I32" s="73">
        <v>87.94</v>
      </c>
      <c r="J32" s="73">
        <v>76.66</v>
      </c>
      <c r="K32" s="73">
        <v>66.34</v>
      </c>
      <c r="L32" s="73">
        <v>57.73</v>
      </c>
      <c r="M32" s="19">
        <v>50.29</v>
      </c>
      <c r="N32" s="73">
        <v>44.71</v>
      </c>
      <c r="O32" s="19">
        <v>39.94</v>
      </c>
      <c r="P32" s="19">
        <v>36.61</v>
      </c>
      <c r="Q32" s="77"/>
    </row>
    <row r="33" spans="1:17" x14ac:dyDescent="0.35">
      <c r="A33" s="73" t="s">
        <v>48</v>
      </c>
      <c r="B33" s="73">
        <v>1</v>
      </c>
      <c r="C33" s="72" t="s">
        <v>94</v>
      </c>
      <c r="D33" s="73">
        <v>30</v>
      </c>
      <c r="E33" s="74">
        <v>40.808</v>
      </c>
      <c r="F33" s="75">
        <v>35.47</v>
      </c>
      <c r="G33" s="76">
        <v>100</v>
      </c>
      <c r="H33" s="73">
        <v>98.81</v>
      </c>
      <c r="I33" s="73">
        <v>97.81</v>
      </c>
      <c r="J33" s="73">
        <v>95.26</v>
      </c>
      <c r="K33" s="73">
        <v>89.91</v>
      </c>
      <c r="L33" s="73">
        <v>81.94</v>
      </c>
      <c r="M33" s="19">
        <v>73.97</v>
      </c>
      <c r="N33" s="73">
        <v>66.22</v>
      </c>
      <c r="O33" s="19">
        <v>61.08</v>
      </c>
      <c r="P33" s="19">
        <v>58.08</v>
      </c>
      <c r="Q33" s="77"/>
    </row>
    <row r="34" spans="1:17" x14ac:dyDescent="0.35">
      <c r="A34" s="73" t="s">
        <v>48</v>
      </c>
      <c r="B34" s="73">
        <v>1</v>
      </c>
      <c r="C34" s="72" t="s">
        <v>94</v>
      </c>
      <c r="D34" s="73">
        <v>31</v>
      </c>
      <c r="E34" s="74">
        <v>169.387</v>
      </c>
      <c r="F34" s="75">
        <v>35.67</v>
      </c>
      <c r="G34" s="76">
        <v>100</v>
      </c>
      <c r="H34" s="73">
        <v>97.68</v>
      </c>
      <c r="I34" s="73">
        <v>94.07</v>
      </c>
      <c r="J34" s="73">
        <v>88.2</v>
      </c>
      <c r="K34" s="73">
        <v>79.36</v>
      </c>
      <c r="L34" s="73">
        <v>69.87</v>
      </c>
      <c r="M34" s="19">
        <v>60.38</v>
      </c>
      <c r="N34" s="73">
        <v>53.4</v>
      </c>
      <c r="O34" s="19">
        <v>47.29</v>
      </c>
      <c r="P34" s="19">
        <v>43.42</v>
      </c>
      <c r="Q34" s="77"/>
    </row>
    <row r="35" spans="1:17" x14ac:dyDescent="0.35">
      <c r="A35" s="73" t="s">
        <v>48</v>
      </c>
      <c r="B35" s="73">
        <v>1</v>
      </c>
      <c r="C35" s="72" t="s">
        <v>94</v>
      </c>
      <c r="D35" s="73">
        <v>32</v>
      </c>
      <c r="E35" s="74">
        <v>333.49700000000001</v>
      </c>
      <c r="F35" s="75">
        <v>37.26</v>
      </c>
      <c r="G35" s="76">
        <v>100</v>
      </c>
      <c r="H35" s="73">
        <v>89.17</v>
      </c>
      <c r="I35" s="73">
        <v>80.2</v>
      </c>
      <c r="J35" s="73">
        <v>68.45</v>
      </c>
      <c r="K35" s="73">
        <v>58.96</v>
      </c>
      <c r="L35" s="73">
        <v>52.01</v>
      </c>
      <c r="M35" s="19">
        <v>46.1</v>
      </c>
      <c r="N35" s="73">
        <v>41.17</v>
      </c>
      <c r="O35" s="19">
        <v>37.71</v>
      </c>
      <c r="P35" s="19">
        <v>35.020000000000003</v>
      </c>
      <c r="Q35" s="77"/>
    </row>
    <row r="36" spans="1:17" x14ac:dyDescent="0.35">
      <c r="A36" s="73" t="s">
        <v>48</v>
      </c>
      <c r="B36" s="73">
        <v>1</v>
      </c>
      <c r="C36" s="72" t="s">
        <v>94</v>
      </c>
      <c r="D36" s="73">
        <v>33</v>
      </c>
      <c r="E36" s="75">
        <v>20.532</v>
      </c>
      <c r="F36" s="75">
        <v>37.630000000000003</v>
      </c>
      <c r="G36" s="76">
        <v>100</v>
      </c>
      <c r="H36" s="73">
        <v>96.8</v>
      </c>
      <c r="I36" s="73">
        <v>96.17</v>
      </c>
      <c r="J36" s="73">
        <v>94.97</v>
      </c>
      <c r="K36" s="73">
        <v>92.94</v>
      </c>
      <c r="L36" s="73">
        <v>89.06</v>
      </c>
      <c r="M36" s="19">
        <v>81.849999999999994</v>
      </c>
      <c r="N36" s="73">
        <v>75.099999999999994</v>
      </c>
      <c r="O36" s="19">
        <v>69.510000000000005</v>
      </c>
      <c r="P36" s="19">
        <v>65.849999999999994</v>
      </c>
      <c r="Q36" s="77"/>
    </row>
    <row r="37" spans="1:17" x14ac:dyDescent="0.35">
      <c r="A37" s="73" t="s">
        <v>48</v>
      </c>
      <c r="B37" s="73">
        <v>1</v>
      </c>
      <c r="C37" s="72" t="s">
        <v>94</v>
      </c>
      <c r="D37" s="73">
        <v>34</v>
      </c>
      <c r="E37" s="74">
        <v>202.16499999999999</v>
      </c>
      <c r="F37" s="75">
        <v>38.520000000000003</v>
      </c>
      <c r="G37" s="76">
        <v>100</v>
      </c>
      <c r="H37" s="73">
        <v>93.71</v>
      </c>
      <c r="I37" s="73">
        <v>89.79</v>
      </c>
      <c r="J37" s="73">
        <v>80.09</v>
      </c>
      <c r="K37" s="73">
        <v>68.260000000000005</v>
      </c>
      <c r="L37" s="73">
        <v>58.16</v>
      </c>
      <c r="M37" s="19">
        <v>50.36</v>
      </c>
      <c r="N37" s="73">
        <v>44</v>
      </c>
      <c r="O37" s="19">
        <v>39.11</v>
      </c>
      <c r="P37" s="19">
        <v>35.83</v>
      </c>
      <c r="Q37" s="77"/>
    </row>
    <row r="38" spans="1:17" x14ac:dyDescent="0.35">
      <c r="A38" s="73" t="s">
        <v>48</v>
      </c>
      <c r="B38" s="73">
        <v>1</v>
      </c>
      <c r="C38" s="72" t="s">
        <v>94</v>
      </c>
      <c r="D38" s="73">
        <v>35</v>
      </c>
      <c r="E38" s="74">
        <v>252.63300000000001</v>
      </c>
      <c r="F38" s="75">
        <v>38.630000000000003</v>
      </c>
      <c r="G38" s="76">
        <v>100</v>
      </c>
      <c r="H38" s="73">
        <v>91.85</v>
      </c>
      <c r="I38" s="73">
        <v>87.83</v>
      </c>
      <c r="J38" s="73">
        <v>78.7</v>
      </c>
      <c r="K38" s="73">
        <v>67.319999999999993</v>
      </c>
      <c r="L38" s="73">
        <v>58.35</v>
      </c>
      <c r="M38" s="19">
        <v>50.86</v>
      </c>
      <c r="N38" s="73">
        <v>44.93</v>
      </c>
      <c r="O38" s="19">
        <v>40.14</v>
      </c>
      <c r="P38" s="19">
        <v>36.97</v>
      </c>
      <c r="Q38" s="77"/>
    </row>
    <row r="39" spans="1:17" x14ac:dyDescent="0.35">
      <c r="A39" s="73" t="s">
        <v>48</v>
      </c>
      <c r="B39" s="73">
        <v>1</v>
      </c>
      <c r="C39" s="72" t="s">
        <v>94</v>
      </c>
      <c r="D39" s="73">
        <v>36</v>
      </c>
      <c r="E39" s="74">
        <v>108.1237</v>
      </c>
      <c r="F39" s="75">
        <v>39.229999999999997</v>
      </c>
      <c r="G39" s="76">
        <v>100</v>
      </c>
      <c r="H39" s="73">
        <v>96.16</v>
      </c>
      <c r="I39" s="73">
        <v>94.52</v>
      </c>
      <c r="J39" s="73">
        <v>90.85</v>
      </c>
      <c r="K39" s="73">
        <v>82.73</v>
      </c>
      <c r="L39" s="73">
        <v>70.83</v>
      </c>
      <c r="M39" s="19">
        <v>61.45</v>
      </c>
      <c r="N39" s="73">
        <v>54.04</v>
      </c>
      <c r="O39" s="19">
        <v>48.1</v>
      </c>
      <c r="P39" s="19">
        <v>44.24</v>
      </c>
      <c r="Q39" s="77"/>
    </row>
    <row r="40" spans="1:17" x14ac:dyDescent="0.35">
      <c r="A40" s="73" t="s">
        <v>48</v>
      </c>
      <c r="B40" s="73">
        <v>1</v>
      </c>
      <c r="C40" s="72" t="s">
        <v>94</v>
      </c>
      <c r="D40" s="73">
        <v>37</v>
      </c>
      <c r="E40" s="74">
        <v>76.37</v>
      </c>
      <c r="F40" s="75">
        <v>37.840000000000003</v>
      </c>
      <c r="G40" s="76">
        <v>100</v>
      </c>
      <c r="H40" s="73">
        <v>96.01</v>
      </c>
      <c r="I40" s="73">
        <v>94.26</v>
      </c>
      <c r="J40" s="73">
        <v>91.09</v>
      </c>
      <c r="K40" s="73">
        <v>83.94</v>
      </c>
      <c r="L40" s="73">
        <v>71.69</v>
      </c>
      <c r="M40" s="19">
        <v>59.8</v>
      </c>
      <c r="N40" s="73">
        <v>51</v>
      </c>
      <c r="O40" s="19">
        <v>45</v>
      </c>
      <c r="P40" s="19">
        <v>41.44</v>
      </c>
      <c r="Q40" s="77"/>
    </row>
    <row r="41" spans="1:17" x14ac:dyDescent="0.35">
      <c r="A41" s="73" t="s">
        <v>48</v>
      </c>
      <c r="B41" s="73">
        <v>1</v>
      </c>
      <c r="C41" s="72" t="s">
        <v>94</v>
      </c>
      <c r="D41" s="73">
        <v>38</v>
      </c>
      <c r="E41" s="74">
        <v>51.557600000000001</v>
      </c>
      <c r="F41" s="75">
        <v>36.159999999999997</v>
      </c>
      <c r="G41" s="76">
        <v>100</v>
      </c>
      <c r="H41" s="73">
        <v>98.92</v>
      </c>
      <c r="I41" s="73">
        <v>97.92</v>
      </c>
      <c r="J41" s="73">
        <v>95.91</v>
      </c>
      <c r="K41" s="73">
        <v>91.86</v>
      </c>
      <c r="L41" s="73">
        <v>83.34</v>
      </c>
      <c r="M41" s="19">
        <v>74.81</v>
      </c>
      <c r="N41" s="73">
        <v>67.12</v>
      </c>
      <c r="O41" s="19">
        <v>62.05</v>
      </c>
      <c r="P41" s="19">
        <v>59.05</v>
      </c>
      <c r="Q41" s="77"/>
    </row>
    <row r="42" spans="1:17" x14ac:dyDescent="0.35">
      <c r="A42" s="73" t="s">
        <v>48</v>
      </c>
      <c r="B42" s="73">
        <v>1</v>
      </c>
      <c r="C42" s="72" t="s">
        <v>95</v>
      </c>
      <c r="D42" s="73">
        <v>39</v>
      </c>
      <c r="E42" s="74">
        <v>28.366499999999998</v>
      </c>
      <c r="F42" s="75">
        <v>32.979999999999997</v>
      </c>
      <c r="G42" s="76">
        <v>100</v>
      </c>
      <c r="H42" s="73">
        <v>97.96</v>
      </c>
      <c r="I42" s="73">
        <v>97.1</v>
      </c>
      <c r="J42" s="73">
        <v>95.2</v>
      </c>
      <c r="K42" s="73">
        <v>91.14</v>
      </c>
      <c r="L42" s="73">
        <v>83.45</v>
      </c>
      <c r="M42" s="73">
        <v>76.180000000000007</v>
      </c>
      <c r="N42" s="73">
        <v>70.12</v>
      </c>
      <c r="O42" s="73">
        <v>65.8</v>
      </c>
      <c r="P42" s="73">
        <v>62.8</v>
      </c>
      <c r="Q42" s="77"/>
    </row>
    <row r="43" spans="1:17" x14ac:dyDescent="0.35">
      <c r="A43" s="73" t="s">
        <v>48</v>
      </c>
      <c r="B43" s="73">
        <v>1</v>
      </c>
      <c r="C43" s="72" t="s">
        <v>95</v>
      </c>
      <c r="D43" s="73">
        <v>40</v>
      </c>
      <c r="E43" s="74">
        <v>366.0052</v>
      </c>
      <c r="F43" s="75">
        <v>34.28</v>
      </c>
      <c r="G43" s="76">
        <v>100</v>
      </c>
      <c r="H43" s="73">
        <v>88.58</v>
      </c>
      <c r="I43" s="73">
        <v>81.58</v>
      </c>
      <c r="J43" s="73">
        <v>67.73</v>
      </c>
      <c r="K43" s="73">
        <v>56.75</v>
      </c>
      <c r="L43" s="73">
        <v>48.88</v>
      </c>
      <c r="M43" s="73">
        <v>43.2</v>
      </c>
      <c r="N43" s="73">
        <v>39.659999999999997</v>
      </c>
      <c r="O43" s="73">
        <v>36.67</v>
      </c>
      <c r="P43" s="73">
        <v>34.83</v>
      </c>
      <c r="Q43" s="77"/>
    </row>
    <row r="44" spans="1:17" x14ac:dyDescent="0.35">
      <c r="A44" s="73" t="s">
        <v>48</v>
      </c>
      <c r="B44" s="73">
        <v>1</v>
      </c>
      <c r="C44" s="72" t="s">
        <v>95</v>
      </c>
      <c r="D44" s="73">
        <v>41</v>
      </c>
      <c r="E44" s="74">
        <v>153.71109999999999</v>
      </c>
      <c r="F44" s="75">
        <v>35.369999999999997</v>
      </c>
      <c r="G44" s="76">
        <v>100</v>
      </c>
      <c r="H44" s="73">
        <v>92.94</v>
      </c>
      <c r="I44" s="73">
        <v>89.33</v>
      </c>
      <c r="J44" s="73">
        <v>81.17</v>
      </c>
      <c r="K44" s="73">
        <v>70.14</v>
      </c>
      <c r="L44" s="73">
        <v>61.17</v>
      </c>
      <c r="M44" s="73">
        <v>54.85</v>
      </c>
      <c r="N44" s="73">
        <v>50.93</v>
      </c>
      <c r="O44" s="73">
        <v>48.31</v>
      </c>
      <c r="P44" s="73">
        <v>46.62</v>
      </c>
      <c r="Q44" s="77"/>
    </row>
    <row r="45" spans="1:17" x14ac:dyDescent="0.35">
      <c r="A45" s="73" t="s">
        <v>48</v>
      </c>
      <c r="B45" s="73">
        <v>1</v>
      </c>
      <c r="C45" s="72" t="s">
        <v>95</v>
      </c>
      <c r="D45" s="73">
        <v>42</v>
      </c>
      <c r="E45" s="74">
        <v>257.803</v>
      </c>
      <c r="F45" s="75">
        <v>33.93</v>
      </c>
      <c r="G45" s="76">
        <v>100</v>
      </c>
      <c r="H45" s="73">
        <v>90.44</v>
      </c>
      <c r="I45" s="73">
        <v>87.26</v>
      </c>
      <c r="J45" s="73">
        <v>77.42</v>
      </c>
      <c r="K45" s="73">
        <v>66.930000000000007</v>
      </c>
      <c r="L45" s="73">
        <v>57.95</v>
      </c>
      <c r="M45" s="73">
        <v>51.48</v>
      </c>
      <c r="N45" s="73">
        <v>46.49</v>
      </c>
      <c r="O45" s="73">
        <v>42.44</v>
      </c>
      <c r="P45" s="73">
        <v>40.28</v>
      </c>
      <c r="Q45" s="77"/>
    </row>
    <row r="46" spans="1:17" x14ac:dyDescent="0.35">
      <c r="A46" s="73" t="s">
        <v>48</v>
      </c>
      <c r="B46" s="73">
        <v>1</v>
      </c>
      <c r="C46" s="72" t="s">
        <v>95</v>
      </c>
      <c r="D46" s="73">
        <v>43</v>
      </c>
      <c r="E46" s="74">
        <v>720.02599999999995</v>
      </c>
      <c r="F46" s="75">
        <v>36.22</v>
      </c>
      <c r="G46" s="76">
        <v>100</v>
      </c>
      <c r="H46" s="73">
        <v>81.3</v>
      </c>
      <c r="I46" s="73">
        <v>70.52</v>
      </c>
      <c r="J46" s="73">
        <v>57.34</v>
      </c>
      <c r="K46" s="73">
        <v>47.65</v>
      </c>
      <c r="L46" s="73">
        <v>40.700000000000003</v>
      </c>
      <c r="M46" s="73">
        <v>35.57</v>
      </c>
      <c r="N46" s="73">
        <v>31.85</v>
      </c>
      <c r="O46" s="73">
        <v>29.75</v>
      </c>
      <c r="P46" s="73">
        <v>28.26</v>
      </c>
      <c r="Q46" s="77"/>
    </row>
    <row r="47" spans="1:17" x14ac:dyDescent="0.35">
      <c r="A47" s="73" t="s">
        <v>48</v>
      </c>
      <c r="B47" s="73">
        <v>1</v>
      </c>
      <c r="C47" s="72" t="s">
        <v>95</v>
      </c>
      <c r="D47" s="73">
        <v>44</v>
      </c>
      <c r="E47" s="74">
        <v>129.12700000000001</v>
      </c>
      <c r="F47" s="75">
        <v>34</v>
      </c>
      <c r="G47" s="76">
        <v>100</v>
      </c>
      <c r="H47" s="73">
        <v>96.48</v>
      </c>
      <c r="I47" s="73">
        <v>94.61</v>
      </c>
      <c r="J47" s="73">
        <v>88.8</v>
      </c>
      <c r="K47" s="73">
        <v>78.209999999999994</v>
      </c>
      <c r="L47" s="73">
        <v>68.11</v>
      </c>
      <c r="M47" s="73">
        <v>59.68</v>
      </c>
      <c r="N47" s="73">
        <v>53.29</v>
      </c>
      <c r="O47" s="73">
        <v>48.75</v>
      </c>
      <c r="P47" s="73">
        <v>46.17</v>
      </c>
      <c r="Q47" s="77"/>
    </row>
    <row r="48" spans="1:17" x14ac:dyDescent="0.35">
      <c r="A48" s="73" t="s">
        <v>48</v>
      </c>
      <c r="B48" s="73">
        <v>1</v>
      </c>
      <c r="C48" s="72" t="s">
        <v>95</v>
      </c>
      <c r="D48" s="73">
        <v>45</v>
      </c>
      <c r="E48" s="75">
        <v>20.324999999999999</v>
      </c>
      <c r="F48" s="75">
        <v>35.11</v>
      </c>
      <c r="G48" s="76">
        <v>100</v>
      </c>
      <c r="H48" s="73">
        <v>98.19</v>
      </c>
      <c r="I48" s="73">
        <v>97.28</v>
      </c>
      <c r="J48" s="73">
        <v>96</v>
      </c>
      <c r="K48" s="73">
        <v>92.06</v>
      </c>
      <c r="L48" s="73">
        <v>85.13</v>
      </c>
      <c r="M48" s="73">
        <v>76.87</v>
      </c>
      <c r="N48" s="73">
        <v>71.260000000000005</v>
      </c>
      <c r="O48" s="73">
        <v>67.84</v>
      </c>
      <c r="P48" s="73">
        <v>65.42</v>
      </c>
      <c r="Q48" s="77"/>
    </row>
    <row r="49" spans="1:17" x14ac:dyDescent="0.35">
      <c r="A49" s="73" t="s">
        <v>48</v>
      </c>
      <c r="B49" s="73">
        <v>1</v>
      </c>
      <c r="C49" s="72" t="s">
        <v>95</v>
      </c>
      <c r="D49" s="73">
        <v>46</v>
      </c>
      <c r="E49" s="75">
        <v>14.2</v>
      </c>
      <c r="F49" s="75">
        <v>32.950000000000003</v>
      </c>
      <c r="G49" s="76">
        <v>100</v>
      </c>
      <c r="H49" s="73">
        <v>97.21</v>
      </c>
      <c r="I49" s="73">
        <v>96.39</v>
      </c>
      <c r="J49" s="73">
        <v>95</v>
      </c>
      <c r="K49" s="73">
        <v>91.37</v>
      </c>
      <c r="L49" s="73">
        <v>85.17</v>
      </c>
      <c r="M49" s="73">
        <v>76.53</v>
      </c>
      <c r="N49" s="73">
        <v>70</v>
      </c>
      <c r="O49" s="73">
        <v>64.53</v>
      </c>
      <c r="P49" s="73">
        <v>61.53</v>
      </c>
      <c r="Q49" s="77"/>
    </row>
    <row r="50" spans="1:17" x14ac:dyDescent="0.35">
      <c r="A50" s="73" t="s">
        <v>48</v>
      </c>
      <c r="B50" s="73">
        <v>1</v>
      </c>
      <c r="C50" s="72" t="s">
        <v>95</v>
      </c>
      <c r="D50" s="73">
        <v>47</v>
      </c>
      <c r="E50" s="75">
        <v>6.0469999999999997</v>
      </c>
      <c r="F50" s="75">
        <v>34.74</v>
      </c>
      <c r="G50" s="76">
        <v>100</v>
      </c>
      <c r="H50" s="73">
        <v>99.05</v>
      </c>
      <c r="I50" s="73">
        <v>98.18</v>
      </c>
      <c r="J50" s="73">
        <v>97.3</v>
      </c>
      <c r="K50" s="73">
        <v>96.24</v>
      </c>
      <c r="L50" s="73">
        <v>92.92</v>
      </c>
      <c r="M50" s="73">
        <v>87.59</v>
      </c>
      <c r="N50" s="73">
        <v>80.459999999999994</v>
      </c>
      <c r="O50" s="73">
        <v>74.739999999999995</v>
      </c>
      <c r="P50" s="73">
        <v>71.84</v>
      </c>
      <c r="Q50" s="77"/>
    </row>
    <row r="51" spans="1:17" x14ac:dyDescent="0.35">
      <c r="A51" s="73" t="s">
        <v>48</v>
      </c>
      <c r="B51" s="73">
        <v>1</v>
      </c>
      <c r="C51" s="72" t="s">
        <v>95</v>
      </c>
      <c r="D51" s="73">
        <v>48</v>
      </c>
      <c r="E51" s="74">
        <v>51.198999999999998</v>
      </c>
      <c r="F51" s="75">
        <v>35.409999999999997</v>
      </c>
      <c r="G51" s="76">
        <v>100</v>
      </c>
      <c r="H51" s="73">
        <v>97.7</v>
      </c>
      <c r="I51" s="73">
        <v>96.26</v>
      </c>
      <c r="J51" s="73">
        <v>93.46</v>
      </c>
      <c r="K51" s="73">
        <v>88.12</v>
      </c>
      <c r="L51" s="73">
        <v>79.08</v>
      </c>
      <c r="M51" s="73">
        <v>70.75</v>
      </c>
      <c r="N51" s="73">
        <v>65.02</v>
      </c>
      <c r="O51" s="73">
        <v>61.39</v>
      </c>
      <c r="P51" s="73">
        <v>59.31</v>
      </c>
      <c r="Q51" s="77"/>
    </row>
    <row r="52" spans="1:17" x14ac:dyDescent="0.35">
      <c r="A52" s="73" t="s">
        <v>48</v>
      </c>
      <c r="B52" s="73">
        <v>1</v>
      </c>
      <c r="C52" s="72" t="s">
        <v>95</v>
      </c>
      <c r="D52" s="73">
        <v>49</v>
      </c>
      <c r="E52" s="74">
        <v>41.248699999999999</v>
      </c>
      <c r="F52" s="75">
        <v>34.33</v>
      </c>
      <c r="G52" s="76">
        <v>100</v>
      </c>
      <c r="H52" s="73">
        <v>96.64</v>
      </c>
      <c r="I52" s="73">
        <v>94.77</v>
      </c>
      <c r="J52" s="73">
        <v>90.92</v>
      </c>
      <c r="K52" s="73">
        <v>82.99</v>
      </c>
      <c r="L52" s="73">
        <v>71.73</v>
      </c>
      <c r="M52" s="73">
        <v>64.28</v>
      </c>
      <c r="N52" s="73">
        <v>59.06</v>
      </c>
      <c r="O52" s="73">
        <v>55.18</v>
      </c>
      <c r="P52" s="73">
        <v>53.07</v>
      </c>
      <c r="Q52" s="77"/>
    </row>
    <row r="53" spans="1:17" x14ac:dyDescent="0.35">
      <c r="A53" s="73" t="s">
        <v>48</v>
      </c>
      <c r="B53" s="73">
        <v>1</v>
      </c>
      <c r="C53" s="72" t="s">
        <v>96</v>
      </c>
      <c r="D53" s="73">
        <v>50</v>
      </c>
      <c r="E53" s="74">
        <v>56.128</v>
      </c>
      <c r="F53" s="75">
        <v>33.49</v>
      </c>
      <c r="G53" s="76">
        <v>100</v>
      </c>
      <c r="H53" s="73">
        <v>97.21</v>
      </c>
      <c r="I53" s="73">
        <v>95.34</v>
      </c>
      <c r="J53" s="73">
        <v>92.53</v>
      </c>
      <c r="K53" s="73">
        <v>81.87</v>
      </c>
      <c r="L53" s="73">
        <v>69.31</v>
      </c>
      <c r="M53" s="73">
        <v>59.66</v>
      </c>
      <c r="N53" s="73">
        <v>52.5</v>
      </c>
      <c r="O53" s="73">
        <v>48.47</v>
      </c>
      <c r="P53" s="73">
        <v>46.11</v>
      </c>
      <c r="Q53" s="77"/>
    </row>
    <row r="54" spans="1:17" x14ac:dyDescent="0.35">
      <c r="A54" s="73" t="s">
        <v>48</v>
      </c>
      <c r="B54" s="73">
        <v>1</v>
      </c>
      <c r="C54" s="72" t="s">
        <v>96</v>
      </c>
      <c r="D54" s="73">
        <v>51</v>
      </c>
      <c r="E54" s="74">
        <v>27.78</v>
      </c>
      <c r="F54" s="75">
        <v>33.630000000000003</v>
      </c>
      <c r="G54" s="76">
        <v>100</v>
      </c>
      <c r="H54" s="73">
        <v>95.71</v>
      </c>
      <c r="I54" s="73">
        <v>94.69</v>
      </c>
      <c r="J54" s="73">
        <v>93.27</v>
      </c>
      <c r="K54" s="73">
        <v>90.48</v>
      </c>
      <c r="L54" s="73">
        <v>83.42</v>
      </c>
      <c r="M54" s="73">
        <v>72.86</v>
      </c>
      <c r="N54" s="73">
        <v>64.11</v>
      </c>
      <c r="O54" s="73">
        <v>58.47</v>
      </c>
      <c r="P54" s="73">
        <v>55.47</v>
      </c>
      <c r="Q54" s="77"/>
    </row>
    <row r="55" spans="1:17" x14ac:dyDescent="0.35">
      <c r="A55" s="73" t="s">
        <v>48</v>
      </c>
      <c r="B55" s="73">
        <v>1</v>
      </c>
      <c r="C55" s="72" t="s">
        <v>96</v>
      </c>
      <c r="D55" s="73">
        <v>52</v>
      </c>
      <c r="E55" s="74">
        <v>261.74700000000001</v>
      </c>
      <c r="F55" s="75">
        <v>34.17</v>
      </c>
      <c r="G55" s="76">
        <v>100</v>
      </c>
      <c r="H55" s="73">
        <v>90.52</v>
      </c>
      <c r="I55" s="73">
        <v>84.82</v>
      </c>
      <c r="J55" s="73">
        <v>72.319999999999993</v>
      </c>
      <c r="K55" s="73">
        <v>60.41</v>
      </c>
      <c r="L55" s="73">
        <v>51.78</v>
      </c>
      <c r="M55" s="73">
        <v>46.26</v>
      </c>
      <c r="N55" s="73">
        <v>42.25</v>
      </c>
      <c r="O55" s="73">
        <v>39.549999999999997</v>
      </c>
      <c r="P55" s="73">
        <v>37.86</v>
      </c>
      <c r="Q55" s="77"/>
    </row>
    <row r="56" spans="1:17" x14ac:dyDescent="0.35">
      <c r="A56" s="73" t="s">
        <v>48</v>
      </c>
      <c r="B56" s="73">
        <v>1</v>
      </c>
      <c r="C56" s="72" t="s">
        <v>96</v>
      </c>
      <c r="D56" s="73">
        <v>53</v>
      </c>
      <c r="E56" s="75">
        <v>19.635000000000002</v>
      </c>
      <c r="F56" s="75">
        <v>30.67</v>
      </c>
      <c r="G56" s="76">
        <v>100</v>
      </c>
      <c r="H56" s="73">
        <v>98.01</v>
      </c>
      <c r="I56" s="73">
        <v>96.55</v>
      </c>
      <c r="J56" s="73">
        <v>95.13</v>
      </c>
      <c r="K56" s="73">
        <v>92.31</v>
      </c>
      <c r="L56" s="73">
        <v>86.85</v>
      </c>
      <c r="M56" s="73">
        <v>77.27</v>
      </c>
      <c r="N56" s="73">
        <v>68.05</v>
      </c>
      <c r="O56" s="73">
        <v>60.07</v>
      </c>
      <c r="P56" s="73">
        <v>55.47</v>
      </c>
      <c r="Q56" s="77"/>
    </row>
    <row r="57" spans="1:17" x14ac:dyDescent="0.35">
      <c r="A57" s="73" t="s">
        <v>48</v>
      </c>
      <c r="B57" s="73">
        <v>1</v>
      </c>
      <c r="C57" s="72" t="s">
        <v>96</v>
      </c>
      <c r="D57" s="73">
        <v>54</v>
      </c>
      <c r="E57" s="75">
        <v>5.5419999999999998</v>
      </c>
      <c r="F57" s="75">
        <v>30.12</v>
      </c>
      <c r="G57" s="76">
        <v>100</v>
      </c>
      <c r="H57" s="73">
        <v>98.93</v>
      </c>
      <c r="I57" s="73">
        <v>98.1</v>
      </c>
      <c r="J57" s="73">
        <v>97.5</v>
      </c>
      <c r="K57" s="73">
        <v>97.02</v>
      </c>
      <c r="L57" s="73">
        <v>94.98</v>
      </c>
      <c r="M57" s="73">
        <v>89.44</v>
      </c>
      <c r="N57" s="73">
        <v>81.34</v>
      </c>
      <c r="O57" s="73">
        <v>74.14</v>
      </c>
      <c r="P57" s="73">
        <v>68.89</v>
      </c>
      <c r="Q57" s="77"/>
    </row>
    <row r="58" spans="1:17" x14ac:dyDescent="0.35">
      <c r="A58" s="73" t="s">
        <v>48</v>
      </c>
      <c r="B58" s="73">
        <v>1</v>
      </c>
      <c r="C58" s="72" t="s">
        <v>96</v>
      </c>
      <c r="D58" s="73">
        <v>55</v>
      </c>
      <c r="E58" s="75">
        <v>7.1840000000000002</v>
      </c>
      <c r="F58" s="75">
        <v>28.9</v>
      </c>
      <c r="G58" s="76">
        <v>100</v>
      </c>
      <c r="H58" s="73">
        <v>98.28</v>
      </c>
      <c r="I58" s="73">
        <v>97.3</v>
      </c>
      <c r="J58" s="73">
        <v>96.1</v>
      </c>
      <c r="K58" s="73">
        <v>95.32</v>
      </c>
      <c r="L58" s="73">
        <v>93.4</v>
      </c>
      <c r="M58" s="73">
        <v>90.27</v>
      </c>
      <c r="N58" s="73">
        <v>83.2</v>
      </c>
      <c r="O58" s="73">
        <v>76</v>
      </c>
      <c r="P58" s="73">
        <v>71.64</v>
      </c>
      <c r="Q58" s="77"/>
    </row>
    <row r="59" spans="1:17" x14ac:dyDescent="0.35">
      <c r="A59" s="73" t="s">
        <v>48</v>
      </c>
      <c r="B59" s="73">
        <v>1</v>
      </c>
      <c r="C59" s="72" t="s">
        <v>96</v>
      </c>
      <c r="D59" s="73">
        <v>56</v>
      </c>
      <c r="E59" s="75">
        <v>15.9594</v>
      </c>
      <c r="F59" s="75">
        <v>31.93</v>
      </c>
      <c r="G59" s="76">
        <v>100</v>
      </c>
      <c r="H59" s="73">
        <v>98.11</v>
      </c>
      <c r="I59" s="73">
        <v>96.66</v>
      </c>
      <c r="J59" s="73">
        <v>95.36</v>
      </c>
      <c r="K59" s="73">
        <v>91.71</v>
      </c>
      <c r="L59" s="73">
        <v>86.18</v>
      </c>
      <c r="M59" s="73">
        <v>77.66</v>
      </c>
      <c r="N59" s="73">
        <v>70.86</v>
      </c>
      <c r="O59" s="73">
        <v>65.39</v>
      </c>
      <c r="P59" s="73">
        <v>62.39</v>
      </c>
      <c r="Q59" s="77"/>
    </row>
    <row r="60" spans="1:17" x14ac:dyDescent="0.35">
      <c r="A60" s="73" t="s">
        <v>48</v>
      </c>
      <c r="B60" s="73">
        <v>1</v>
      </c>
      <c r="C60" s="72" t="s">
        <v>96</v>
      </c>
      <c r="D60" s="73">
        <v>57</v>
      </c>
      <c r="E60" s="74">
        <v>153.31780000000001</v>
      </c>
      <c r="F60" s="75">
        <v>33.380000000000003</v>
      </c>
      <c r="G60" s="76">
        <v>100</v>
      </c>
      <c r="H60" s="73">
        <v>93.81</v>
      </c>
      <c r="I60" s="73">
        <v>90.66</v>
      </c>
      <c r="J60" s="73">
        <v>83.82</v>
      </c>
      <c r="K60" s="73">
        <v>69.86</v>
      </c>
      <c r="L60" s="73">
        <v>57.06</v>
      </c>
      <c r="M60" s="73">
        <v>47.77</v>
      </c>
      <c r="N60" s="73">
        <v>40.299999999999997</v>
      </c>
      <c r="O60" s="73">
        <v>35.1</v>
      </c>
      <c r="P60" s="73">
        <v>32.1</v>
      </c>
      <c r="Q60" s="77"/>
    </row>
    <row r="61" spans="1:17" x14ac:dyDescent="0.35">
      <c r="A61" s="73" t="s">
        <v>48</v>
      </c>
      <c r="B61" s="73">
        <v>1</v>
      </c>
      <c r="C61" s="72" t="s">
        <v>96</v>
      </c>
      <c r="D61" s="73">
        <v>58</v>
      </c>
      <c r="E61" s="74">
        <v>187.559</v>
      </c>
      <c r="F61" s="75">
        <v>33.74</v>
      </c>
      <c r="G61" s="76">
        <v>100</v>
      </c>
      <c r="H61" s="73">
        <v>94.23</v>
      </c>
      <c r="I61" s="73">
        <v>91.07</v>
      </c>
      <c r="J61" s="73">
        <v>81.61</v>
      </c>
      <c r="K61" s="73">
        <v>66.31</v>
      </c>
      <c r="L61" s="73">
        <v>54.85</v>
      </c>
      <c r="M61" s="73">
        <v>46.5</v>
      </c>
      <c r="N61" s="73">
        <v>40.14</v>
      </c>
      <c r="O61" s="73">
        <v>35.96</v>
      </c>
      <c r="P61" s="73">
        <v>33.4</v>
      </c>
      <c r="Q61" s="77"/>
    </row>
    <row r="62" spans="1:17" x14ac:dyDescent="0.35">
      <c r="A62" s="73" t="s">
        <v>48</v>
      </c>
      <c r="B62" s="73">
        <v>1</v>
      </c>
      <c r="C62" s="72" t="s">
        <v>96</v>
      </c>
      <c r="D62" s="73">
        <v>59</v>
      </c>
      <c r="E62" s="74">
        <v>45.847900000000003</v>
      </c>
      <c r="F62" s="75">
        <v>33.68</v>
      </c>
      <c r="G62" s="76">
        <v>100</v>
      </c>
      <c r="H62" s="73">
        <v>97.07</v>
      </c>
      <c r="I62" s="73">
        <v>96.2</v>
      </c>
      <c r="J62" s="73">
        <v>94.27</v>
      </c>
      <c r="K62" s="73">
        <v>90.67</v>
      </c>
      <c r="L62" s="73">
        <v>80.63</v>
      </c>
      <c r="M62" s="73">
        <v>71.67</v>
      </c>
      <c r="N62" s="73">
        <v>65.45</v>
      </c>
      <c r="O62" s="73">
        <v>61.02</v>
      </c>
      <c r="P62" s="73">
        <v>58.45</v>
      </c>
      <c r="Q62" s="77"/>
    </row>
    <row r="63" spans="1:17" x14ac:dyDescent="0.35">
      <c r="A63" s="73" t="s">
        <v>48</v>
      </c>
      <c r="B63" s="73">
        <v>1</v>
      </c>
      <c r="C63" s="72" t="s">
        <v>96</v>
      </c>
      <c r="D63" s="73">
        <v>60</v>
      </c>
      <c r="E63" s="74">
        <v>76.739599999999996</v>
      </c>
      <c r="F63" s="75">
        <v>33.380000000000003</v>
      </c>
      <c r="G63" s="76">
        <v>100</v>
      </c>
      <c r="H63" s="73">
        <v>97</v>
      </c>
      <c r="I63" s="73">
        <v>94.69</v>
      </c>
      <c r="J63" s="73">
        <v>90.62</v>
      </c>
      <c r="K63" s="73">
        <v>77.989999999999995</v>
      </c>
      <c r="L63" s="73">
        <v>67.59</v>
      </c>
      <c r="M63" s="73">
        <v>58.95</v>
      </c>
      <c r="N63" s="73">
        <v>52.03</v>
      </c>
      <c r="O63" s="73">
        <v>46.89</v>
      </c>
      <c r="P63" s="73">
        <v>43.89</v>
      </c>
      <c r="Q63" s="77"/>
    </row>
    <row r="64" spans="1:17" x14ac:dyDescent="0.35">
      <c r="A64" s="73" t="s">
        <v>48</v>
      </c>
      <c r="B64" s="73">
        <v>1</v>
      </c>
      <c r="C64" s="72" t="s">
        <v>96</v>
      </c>
      <c r="D64" s="73">
        <v>61</v>
      </c>
      <c r="E64" s="74">
        <v>142.19470000000001</v>
      </c>
      <c r="F64" s="75">
        <v>33.49</v>
      </c>
      <c r="G64" s="76">
        <v>100</v>
      </c>
      <c r="H64" s="73">
        <v>97.62</v>
      </c>
      <c r="I64" s="73">
        <v>95.75</v>
      </c>
      <c r="J64" s="73">
        <v>89.52</v>
      </c>
      <c r="K64" s="73">
        <v>76.510000000000005</v>
      </c>
      <c r="L64" s="73">
        <v>65.47</v>
      </c>
      <c r="M64" s="73">
        <v>56</v>
      </c>
      <c r="N64" s="73">
        <v>48.32</v>
      </c>
      <c r="O64" s="73">
        <v>42.45</v>
      </c>
      <c r="P64" s="73">
        <v>38.14</v>
      </c>
      <c r="Q64" s="77"/>
    </row>
    <row r="65" spans="1:17" x14ac:dyDescent="0.35">
      <c r="A65" s="73" t="s">
        <v>48</v>
      </c>
      <c r="B65" s="73">
        <v>1</v>
      </c>
      <c r="C65" s="72" t="s">
        <v>96</v>
      </c>
      <c r="D65" s="73">
        <v>62</v>
      </c>
      <c r="E65" s="74">
        <v>99.798000000000002</v>
      </c>
      <c r="F65" s="75">
        <v>32.229999999999997</v>
      </c>
      <c r="G65" s="76">
        <v>100</v>
      </c>
      <c r="H65" s="73">
        <v>97.24</v>
      </c>
      <c r="I65" s="73">
        <v>94.93</v>
      </c>
      <c r="J65" s="73">
        <v>91.29</v>
      </c>
      <c r="K65" s="73">
        <v>79.989999999999995</v>
      </c>
      <c r="L65" s="73">
        <v>67.459999999999994</v>
      </c>
      <c r="M65" s="73">
        <v>57.69</v>
      </c>
      <c r="N65" s="73">
        <v>50.03</v>
      </c>
      <c r="O65" s="73">
        <v>44.32</v>
      </c>
      <c r="P65" s="73">
        <v>40.82</v>
      </c>
      <c r="Q65" s="77"/>
    </row>
    <row r="66" spans="1:17" x14ac:dyDescent="0.35">
      <c r="A66" s="73" t="s">
        <v>48</v>
      </c>
      <c r="B66" s="73">
        <v>1</v>
      </c>
      <c r="C66" s="72" t="s">
        <v>96</v>
      </c>
      <c r="D66" s="73">
        <v>64</v>
      </c>
      <c r="E66" s="74">
        <v>169.6362</v>
      </c>
      <c r="F66" s="75">
        <v>33.25</v>
      </c>
      <c r="G66" s="76">
        <v>100</v>
      </c>
      <c r="H66" s="73">
        <v>92.98</v>
      </c>
      <c r="I66" s="73">
        <v>88.99</v>
      </c>
      <c r="J66" s="73">
        <v>80.53</v>
      </c>
      <c r="K66" s="73">
        <v>67.94</v>
      </c>
      <c r="L66" s="73">
        <v>56.5</v>
      </c>
      <c r="M66" s="73">
        <v>47.99</v>
      </c>
      <c r="N66" s="73">
        <v>42.01</v>
      </c>
      <c r="O66" s="73">
        <v>38.229999999999997</v>
      </c>
      <c r="P66" s="73">
        <v>35.229999999999997</v>
      </c>
      <c r="Q66" s="77"/>
    </row>
    <row r="67" spans="1:17" x14ac:dyDescent="0.35">
      <c r="A67" s="73" t="s">
        <v>48</v>
      </c>
      <c r="B67" s="73">
        <v>1</v>
      </c>
      <c r="C67" s="72" t="s">
        <v>96</v>
      </c>
      <c r="D67" s="73">
        <v>65</v>
      </c>
      <c r="E67" s="74">
        <v>125.72799999999999</v>
      </c>
      <c r="F67" s="75">
        <v>31.36</v>
      </c>
      <c r="G67" s="76">
        <v>100</v>
      </c>
      <c r="H67" s="73">
        <v>96.18</v>
      </c>
      <c r="I67" s="73">
        <v>93.18</v>
      </c>
      <c r="J67" s="73">
        <v>86.01</v>
      </c>
      <c r="K67" s="73">
        <v>73.58</v>
      </c>
      <c r="L67" s="73">
        <v>62.76</v>
      </c>
      <c r="M67" s="73">
        <v>54.38</v>
      </c>
      <c r="N67" s="73">
        <v>48.59</v>
      </c>
      <c r="O67" s="73">
        <v>44.18</v>
      </c>
      <c r="P67" s="73">
        <v>41.6</v>
      </c>
      <c r="Q67" s="77"/>
    </row>
    <row r="68" spans="1:17" x14ac:dyDescent="0.35">
      <c r="A68" s="73" t="s">
        <v>48</v>
      </c>
      <c r="B68" s="73">
        <v>1</v>
      </c>
      <c r="C68" s="72" t="s">
        <v>96</v>
      </c>
      <c r="D68" s="73">
        <v>66</v>
      </c>
      <c r="E68" s="74">
        <v>454.41309999999999</v>
      </c>
      <c r="F68" s="75">
        <v>32.369999999999997</v>
      </c>
      <c r="G68" s="76">
        <v>100</v>
      </c>
      <c r="H68" s="73">
        <v>83.15</v>
      </c>
      <c r="I68" s="73">
        <v>74.92</v>
      </c>
      <c r="J68" s="73">
        <v>61.96</v>
      </c>
      <c r="K68" s="73">
        <v>51.09</v>
      </c>
      <c r="L68" s="73">
        <v>43.19</v>
      </c>
      <c r="M68" s="73">
        <v>37.22</v>
      </c>
      <c r="N68" s="73">
        <v>32.97</v>
      </c>
      <c r="O68" s="73">
        <v>30.02</v>
      </c>
      <c r="P68" s="73">
        <v>27.86</v>
      </c>
      <c r="Q68" s="77"/>
    </row>
    <row r="69" spans="1:17" x14ac:dyDescent="0.35">
      <c r="A69" s="73" t="s">
        <v>48</v>
      </c>
      <c r="B69" s="73">
        <v>1</v>
      </c>
      <c r="C69" s="72" t="s">
        <v>96</v>
      </c>
      <c r="D69" s="73">
        <v>67</v>
      </c>
      <c r="E69" s="75">
        <v>10.573</v>
      </c>
      <c r="F69" s="75">
        <v>29.02</v>
      </c>
      <c r="G69" s="76">
        <v>100</v>
      </c>
      <c r="H69" s="73">
        <v>98.39</v>
      </c>
      <c r="I69" s="73">
        <v>97.39</v>
      </c>
      <c r="J69" s="73">
        <v>96.06</v>
      </c>
      <c r="K69" s="73">
        <v>93.74</v>
      </c>
      <c r="L69" s="73">
        <v>89.28</v>
      </c>
      <c r="M69" s="73">
        <v>81.36</v>
      </c>
      <c r="N69" s="73">
        <v>73.239999999999995</v>
      </c>
      <c r="O69" s="73">
        <v>67.67</v>
      </c>
      <c r="P69" s="73">
        <v>63.83</v>
      </c>
      <c r="Q69" s="77"/>
    </row>
    <row r="70" spans="1:17" x14ac:dyDescent="0.35">
      <c r="A70" s="73" t="s">
        <v>48</v>
      </c>
      <c r="B70" s="73">
        <v>1</v>
      </c>
      <c r="C70" s="72" t="s">
        <v>96</v>
      </c>
      <c r="D70" s="73">
        <v>68</v>
      </c>
      <c r="E70" s="74">
        <v>39.378999999999998</v>
      </c>
      <c r="F70" s="75">
        <v>31.58</v>
      </c>
      <c r="G70" s="76">
        <v>100</v>
      </c>
      <c r="H70" s="73">
        <v>97.73</v>
      </c>
      <c r="I70" s="73">
        <v>97.17</v>
      </c>
      <c r="J70" s="73">
        <v>96.03</v>
      </c>
      <c r="K70" s="73">
        <v>92.46</v>
      </c>
      <c r="L70" s="73">
        <v>84.36</v>
      </c>
      <c r="M70" s="73">
        <v>75.349999999999994</v>
      </c>
      <c r="N70" s="73">
        <v>68.180000000000007</v>
      </c>
      <c r="O70" s="73">
        <v>63.21</v>
      </c>
      <c r="P70" s="73">
        <v>60.21</v>
      </c>
      <c r="Q70" s="77"/>
    </row>
    <row r="71" spans="1:17" x14ac:dyDescent="0.35">
      <c r="A71" s="73" t="s">
        <v>48</v>
      </c>
      <c r="B71" s="73">
        <v>1</v>
      </c>
      <c r="C71" s="72" t="s">
        <v>96</v>
      </c>
      <c r="D71" s="73">
        <v>69</v>
      </c>
      <c r="E71" s="74">
        <v>66.616600000000005</v>
      </c>
      <c r="F71" s="75">
        <v>31.75</v>
      </c>
      <c r="G71" s="76">
        <v>100</v>
      </c>
      <c r="H71" s="73">
        <v>96.51</v>
      </c>
      <c r="I71" s="73">
        <v>94.64</v>
      </c>
      <c r="J71" s="73">
        <v>90.62</v>
      </c>
      <c r="K71" s="73">
        <v>79.37</v>
      </c>
      <c r="L71" s="73">
        <v>68.260000000000005</v>
      </c>
      <c r="M71" s="73">
        <v>60.81</v>
      </c>
      <c r="N71" s="73">
        <v>55.05</v>
      </c>
      <c r="O71" s="73">
        <v>50.67</v>
      </c>
      <c r="P71" s="73">
        <v>47.67</v>
      </c>
      <c r="Q71" s="77"/>
    </row>
    <row r="72" spans="1:17" x14ac:dyDescent="0.35">
      <c r="A72" s="73" t="s">
        <v>48</v>
      </c>
      <c r="B72" s="73">
        <v>1</v>
      </c>
      <c r="C72" s="72" t="s">
        <v>96</v>
      </c>
      <c r="D72" s="73">
        <v>70</v>
      </c>
      <c r="E72" s="75">
        <v>3.3816999999999999</v>
      </c>
      <c r="F72" s="75">
        <v>31.8</v>
      </c>
      <c r="G72" s="76">
        <v>100</v>
      </c>
      <c r="H72" s="73">
        <v>98.66</v>
      </c>
      <c r="I72" s="73">
        <v>98.2</v>
      </c>
      <c r="J72" s="73">
        <v>97.9</v>
      </c>
      <c r="K72" s="73">
        <v>97.2</v>
      </c>
      <c r="L72" s="73">
        <v>96.1</v>
      </c>
      <c r="M72" s="73">
        <v>92.79</v>
      </c>
      <c r="N72" s="73">
        <v>85</v>
      </c>
      <c r="O72" s="73">
        <v>78.2</v>
      </c>
      <c r="P72" s="73">
        <v>74.099999999999994</v>
      </c>
      <c r="Q72" s="77"/>
    </row>
    <row r="73" spans="1:17" x14ac:dyDescent="0.35">
      <c r="A73" s="73" t="s">
        <v>48</v>
      </c>
      <c r="B73" s="73">
        <v>1</v>
      </c>
      <c r="C73" s="72" t="s">
        <v>96</v>
      </c>
      <c r="D73" s="73">
        <v>70</v>
      </c>
      <c r="E73" s="75">
        <v>3.3816999999999999</v>
      </c>
      <c r="F73" s="75">
        <v>31.8</v>
      </c>
      <c r="G73" s="76">
        <v>100</v>
      </c>
      <c r="H73" s="73">
        <v>98.66</v>
      </c>
      <c r="I73" s="73">
        <v>98.2</v>
      </c>
      <c r="J73" s="73">
        <v>97.9</v>
      </c>
      <c r="K73" s="73">
        <v>97.2</v>
      </c>
      <c r="L73" s="73">
        <v>96.1</v>
      </c>
      <c r="M73" s="73">
        <v>92.79</v>
      </c>
      <c r="N73" s="73">
        <v>85</v>
      </c>
      <c r="O73" s="73">
        <v>78.2</v>
      </c>
      <c r="P73" s="73">
        <v>74.099999999999994</v>
      </c>
      <c r="Q73" s="77"/>
    </row>
    <row r="74" spans="1:17" x14ac:dyDescent="0.35">
      <c r="A74" s="73" t="s">
        <v>48</v>
      </c>
      <c r="B74" s="73">
        <v>1</v>
      </c>
      <c r="C74" s="72" t="s">
        <v>96</v>
      </c>
      <c r="D74" s="73">
        <v>72</v>
      </c>
      <c r="E74" s="74">
        <v>89.645099999999999</v>
      </c>
      <c r="F74" s="75">
        <v>28.33</v>
      </c>
      <c r="G74" s="76">
        <v>100</v>
      </c>
      <c r="H74" s="73">
        <v>93.51</v>
      </c>
      <c r="I74" s="73">
        <v>91.33</v>
      </c>
      <c r="J74" s="73">
        <v>86.16</v>
      </c>
      <c r="K74" s="73">
        <v>74.069999999999993</v>
      </c>
      <c r="L74" s="73">
        <v>63.42</v>
      </c>
      <c r="M74" s="73">
        <v>53.92</v>
      </c>
      <c r="N74" s="73">
        <v>46.16</v>
      </c>
      <c r="O74" s="73">
        <v>39.78</v>
      </c>
      <c r="P74" s="73">
        <v>35.47</v>
      </c>
      <c r="Q74" s="77"/>
    </row>
    <row r="75" spans="1:17" x14ac:dyDescent="0.35">
      <c r="A75" s="73" t="s">
        <v>48</v>
      </c>
      <c r="B75" s="73">
        <v>1</v>
      </c>
      <c r="C75" s="72" t="s">
        <v>97</v>
      </c>
      <c r="D75" s="73">
        <v>73</v>
      </c>
      <c r="E75" s="74">
        <v>88.275999999999996</v>
      </c>
      <c r="F75" s="75">
        <v>31.34</v>
      </c>
      <c r="G75" s="76">
        <v>100</v>
      </c>
      <c r="H75" s="73">
        <v>97.15</v>
      </c>
      <c r="I75" s="73">
        <v>95.28</v>
      </c>
      <c r="J75" s="73">
        <v>91.27</v>
      </c>
      <c r="K75" s="73">
        <v>80.760000000000005</v>
      </c>
      <c r="L75" s="73">
        <v>68.739999999999995</v>
      </c>
      <c r="M75" s="73">
        <v>58.41</v>
      </c>
      <c r="N75" s="73">
        <v>51.26</v>
      </c>
      <c r="O75" s="73">
        <v>46.34</v>
      </c>
      <c r="P75" s="73">
        <v>43.34</v>
      </c>
      <c r="Q75" s="77"/>
    </row>
    <row r="76" spans="1:17" x14ac:dyDescent="0.35">
      <c r="A76" s="73" t="s">
        <v>48</v>
      </c>
      <c r="B76" s="73">
        <v>1</v>
      </c>
      <c r="C76" s="72" t="s">
        <v>97</v>
      </c>
      <c r="D76" s="73">
        <v>74</v>
      </c>
      <c r="E76" s="74">
        <v>154.18119999999999</v>
      </c>
      <c r="F76" s="75">
        <v>32.4</v>
      </c>
      <c r="G76" s="76">
        <v>100</v>
      </c>
      <c r="H76" s="73">
        <v>95.76</v>
      </c>
      <c r="I76" s="73">
        <v>92.15</v>
      </c>
      <c r="J76" s="73">
        <v>80.959999999999994</v>
      </c>
      <c r="K76" s="73">
        <v>68.760000000000005</v>
      </c>
      <c r="L76" s="73">
        <v>59.36</v>
      </c>
      <c r="M76" s="73">
        <v>51.65</v>
      </c>
      <c r="N76" s="73">
        <v>46.08</v>
      </c>
      <c r="O76" s="73">
        <v>42.01</v>
      </c>
      <c r="P76" s="73">
        <v>39.31</v>
      </c>
      <c r="Q76" s="77"/>
    </row>
    <row r="77" spans="1:17" x14ac:dyDescent="0.35">
      <c r="A77" s="73" t="s">
        <v>48</v>
      </c>
      <c r="B77" s="73">
        <v>1</v>
      </c>
      <c r="C77" s="72" t="s">
        <v>97</v>
      </c>
      <c r="D77" s="73">
        <v>75</v>
      </c>
      <c r="E77" s="74">
        <v>148.3305</v>
      </c>
      <c r="F77" s="75">
        <v>32.22</v>
      </c>
      <c r="G77" s="76">
        <v>100</v>
      </c>
      <c r="H77" s="73">
        <v>95.82</v>
      </c>
      <c r="I77" s="73">
        <v>93</v>
      </c>
      <c r="J77" s="73">
        <v>82.1</v>
      </c>
      <c r="K77" s="73">
        <v>69.39</v>
      </c>
      <c r="L77" s="73">
        <v>60.07</v>
      </c>
      <c r="M77" s="73">
        <v>52.68</v>
      </c>
      <c r="N77" s="73">
        <v>47.16</v>
      </c>
      <c r="O77" s="73">
        <v>43</v>
      </c>
      <c r="P77" s="73">
        <v>40.47</v>
      </c>
      <c r="Q77" s="77"/>
    </row>
    <row r="78" spans="1:17" x14ac:dyDescent="0.35">
      <c r="A78" s="73" t="s">
        <v>48</v>
      </c>
      <c r="B78" s="73">
        <v>1</v>
      </c>
      <c r="C78" s="72" t="s">
        <v>97</v>
      </c>
      <c r="D78" s="73">
        <v>77</v>
      </c>
      <c r="E78" s="74">
        <v>148.87970000000001</v>
      </c>
      <c r="F78" s="75">
        <v>32.619999999999997</v>
      </c>
      <c r="G78" s="76">
        <v>100</v>
      </c>
      <c r="H78" s="73">
        <v>94.61</v>
      </c>
      <c r="I78" s="73">
        <v>92.3</v>
      </c>
      <c r="J78" s="73">
        <v>81.83</v>
      </c>
      <c r="K78" s="73">
        <v>67.849999999999994</v>
      </c>
      <c r="L78" s="73">
        <v>57.77</v>
      </c>
      <c r="M78" s="73">
        <v>49.9</v>
      </c>
      <c r="N78" s="73">
        <v>43.86</v>
      </c>
      <c r="O78" s="73">
        <v>40.03</v>
      </c>
      <c r="P78" s="73">
        <v>37.869999999999997</v>
      </c>
      <c r="Q78" s="77"/>
    </row>
    <row r="79" spans="1:17" x14ac:dyDescent="0.35">
      <c r="A79" s="73" t="s">
        <v>48</v>
      </c>
      <c r="B79" s="73">
        <v>1</v>
      </c>
      <c r="C79" s="72" t="s">
        <v>97</v>
      </c>
      <c r="D79" s="73">
        <v>78</v>
      </c>
      <c r="E79" s="74">
        <v>97.968000000000004</v>
      </c>
      <c r="F79" s="75">
        <v>31.69</v>
      </c>
      <c r="G79" s="76">
        <v>100</v>
      </c>
      <c r="H79" s="73">
        <v>96.55</v>
      </c>
      <c r="I79" s="73">
        <v>93.37</v>
      </c>
      <c r="J79" s="73">
        <v>87.4</v>
      </c>
      <c r="K79" s="73">
        <v>75.650000000000006</v>
      </c>
      <c r="L79" s="73">
        <v>64.5</v>
      </c>
      <c r="M79" s="73">
        <v>57.32</v>
      </c>
      <c r="N79" s="73">
        <v>51.51</v>
      </c>
      <c r="O79" s="73">
        <v>47.64</v>
      </c>
      <c r="P79" s="73">
        <v>45.06</v>
      </c>
      <c r="Q79" s="77"/>
    </row>
    <row r="80" spans="1:17" x14ac:dyDescent="0.35">
      <c r="A80" s="73" t="s">
        <v>48</v>
      </c>
      <c r="B80" s="73">
        <v>1</v>
      </c>
      <c r="C80" s="72" t="s">
        <v>97</v>
      </c>
      <c r="D80" s="73">
        <v>79</v>
      </c>
      <c r="E80" s="74">
        <v>60.822400000000002</v>
      </c>
      <c r="F80" s="75">
        <v>33.39</v>
      </c>
      <c r="G80" s="76">
        <v>100</v>
      </c>
      <c r="H80" s="73">
        <v>97.05</v>
      </c>
      <c r="I80" s="73">
        <v>95.18</v>
      </c>
      <c r="J80" s="73">
        <v>91.91</v>
      </c>
      <c r="K80" s="73">
        <v>81.45</v>
      </c>
      <c r="L80" s="73">
        <v>70.48</v>
      </c>
      <c r="M80" s="73">
        <v>62.03</v>
      </c>
      <c r="N80" s="73">
        <v>55.69</v>
      </c>
      <c r="O80" s="73">
        <v>51.52</v>
      </c>
      <c r="P80" s="73">
        <v>48.96</v>
      </c>
      <c r="Q80" s="77"/>
    </row>
    <row r="81" spans="1:17" x14ac:dyDescent="0.35">
      <c r="A81" s="73" t="s">
        <v>48</v>
      </c>
      <c r="B81" s="73">
        <v>1</v>
      </c>
      <c r="C81" s="72" t="s">
        <v>97</v>
      </c>
      <c r="D81" s="73">
        <v>80</v>
      </c>
      <c r="E81" s="74">
        <v>77.78</v>
      </c>
      <c r="F81" s="75">
        <v>32.28</v>
      </c>
      <c r="G81" s="76">
        <v>100</v>
      </c>
      <c r="H81" s="73">
        <v>97.93</v>
      </c>
      <c r="I81" s="73">
        <v>96.06</v>
      </c>
      <c r="J81" s="73">
        <v>91.31</v>
      </c>
      <c r="K81" s="73">
        <v>79.900000000000006</v>
      </c>
      <c r="L81" s="73">
        <v>68.87</v>
      </c>
      <c r="M81" s="73">
        <v>59.62</v>
      </c>
      <c r="N81" s="73">
        <v>52.97</v>
      </c>
      <c r="O81" s="73">
        <v>48.5</v>
      </c>
      <c r="P81" s="73">
        <v>45.94</v>
      </c>
      <c r="Q81" s="77"/>
    </row>
    <row r="82" spans="1:17" x14ac:dyDescent="0.35">
      <c r="A82" s="73" t="s">
        <v>48</v>
      </c>
      <c r="B82" s="73">
        <v>1</v>
      </c>
      <c r="C82" s="72" t="s">
        <v>97</v>
      </c>
      <c r="D82" s="73">
        <v>81</v>
      </c>
      <c r="E82" s="75">
        <v>19.978000000000002</v>
      </c>
      <c r="F82" s="75">
        <v>30.88</v>
      </c>
      <c r="G82" s="76">
        <v>100</v>
      </c>
      <c r="H82" s="73">
        <v>98.24</v>
      </c>
      <c r="I82" s="73">
        <v>97.04</v>
      </c>
      <c r="J82" s="73">
        <v>95.84</v>
      </c>
      <c r="K82" s="73">
        <v>92.84</v>
      </c>
      <c r="L82" s="73">
        <v>86.33</v>
      </c>
      <c r="M82" s="73">
        <v>78.819999999999993</v>
      </c>
      <c r="N82" s="73">
        <v>72.87</v>
      </c>
      <c r="O82" s="73">
        <v>67.930000000000007</v>
      </c>
      <c r="P82" s="73">
        <v>64.930000000000007</v>
      </c>
      <c r="Q82" s="77"/>
    </row>
    <row r="83" spans="1:17" x14ac:dyDescent="0.35">
      <c r="A83" s="73" t="s">
        <v>48</v>
      </c>
      <c r="B83" s="73">
        <v>1</v>
      </c>
      <c r="C83" s="72" t="s">
        <v>97</v>
      </c>
      <c r="D83" s="73">
        <v>82</v>
      </c>
      <c r="E83" s="75">
        <v>0.30599999999999999</v>
      </c>
      <c r="F83" s="75">
        <v>5.98</v>
      </c>
      <c r="G83" s="76">
        <v>100</v>
      </c>
      <c r="H83" s="73">
        <v>98.57</v>
      </c>
      <c r="I83" s="73">
        <v>98.14</v>
      </c>
      <c r="J83" s="73">
        <v>97.7</v>
      </c>
      <c r="K83" s="73">
        <v>97.26</v>
      </c>
      <c r="L83" s="73">
        <v>96.46</v>
      </c>
      <c r="M83" s="73">
        <v>95.69</v>
      </c>
      <c r="N83" s="73">
        <v>93.64</v>
      </c>
      <c r="O83" s="73">
        <v>87.23</v>
      </c>
      <c r="P83" s="73">
        <v>83.84</v>
      </c>
      <c r="Q83" s="77"/>
    </row>
  </sheetData>
  <mergeCells count="9">
    <mergeCell ref="G1:P1"/>
    <mergeCell ref="Q1:Q3"/>
    <mergeCell ref="G3:P3"/>
    <mergeCell ref="A1:A3"/>
    <mergeCell ref="B1:B3"/>
    <mergeCell ref="C1:C3"/>
    <mergeCell ref="D1:D3"/>
    <mergeCell ref="E1:E3"/>
    <mergeCell ref="F1:F3"/>
  </mergeCells>
  <pageMargins left="0.7" right="0.7" top="0.75" bottom="0.75" header="0.3" footer="0.3"/>
  <pageSetup paperSize="129" orientation="portrait" horizontalDpi="300" verticalDpi="300" r:id="rId1"/>
  <rowBreaks count="2" manualBreakCount="2">
    <brk id="13" max="16383" man="1"/>
    <brk id="106" max="16383" man="1"/>
  </rowBreaks>
  <colBreaks count="2" manualBreakCount="2">
    <brk id="11" max="1048575" man="1"/>
    <brk id="20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BC154"/>
  <sheetViews>
    <sheetView tabSelected="1" topLeftCell="L1" zoomScale="74" zoomScaleNormal="93" workbookViewId="0">
      <pane ySplit="4" topLeftCell="A77" activePane="bottomLeft" state="frozen"/>
      <selection activeCell="F1" sqref="F1"/>
      <selection pane="bottomLeft" activeCell="AT5" sqref="AT5"/>
    </sheetView>
  </sheetViews>
  <sheetFormatPr defaultRowHeight="14.5" x14ac:dyDescent="0.35"/>
  <cols>
    <col min="5" max="5" width="13.6328125" customWidth="1"/>
    <col min="17" max="17" width="9.08984375"/>
    <col min="43" max="43" width="11.08984375" style="140" customWidth="1"/>
  </cols>
  <sheetData>
    <row r="1" spans="1:55" ht="15" customHeight="1" x14ac:dyDescent="0.35">
      <c r="A1" s="188" t="s">
        <v>0</v>
      </c>
      <c r="B1" s="188" t="s">
        <v>43</v>
      </c>
      <c r="C1" s="188" t="s">
        <v>41</v>
      </c>
      <c r="D1" s="190" t="s">
        <v>44</v>
      </c>
      <c r="E1" s="188" t="s">
        <v>11</v>
      </c>
      <c r="F1" s="188" t="s">
        <v>12</v>
      </c>
      <c r="G1" s="187" t="s">
        <v>45</v>
      </c>
      <c r="H1" s="187"/>
      <c r="I1" s="187"/>
      <c r="J1" s="187"/>
      <c r="K1" s="187"/>
      <c r="L1" s="187"/>
      <c r="M1" s="187"/>
      <c r="N1" s="187"/>
      <c r="O1" s="187"/>
      <c r="P1" s="187"/>
      <c r="Q1" s="180" t="s">
        <v>46</v>
      </c>
      <c r="V1" s="52"/>
      <c r="W1" s="53" t="s">
        <v>75</v>
      </c>
      <c r="AA1" s="185" t="s">
        <v>136</v>
      </c>
      <c r="AB1" s="185"/>
      <c r="AC1" s="185" t="s">
        <v>137</v>
      </c>
      <c r="AD1" s="185"/>
      <c r="AE1" s="185"/>
      <c r="AF1" s="137"/>
      <c r="AG1" s="183" t="s">
        <v>138</v>
      </c>
      <c r="AH1" s="183"/>
      <c r="AI1" s="183"/>
      <c r="AJ1" s="183"/>
      <c r="AK1" s="183"/>
      <c r="AL1" s="183"/>
      <c r="AM1" s="183"/>
      <c r="AN1" s="183"/>
      <c r="AO1" s="183"/>
      <c r="AP1" s="183"/>
      <c r="AQ1" s="184" t="s">
        <v>140</v>
      </c>
    </row>
    <row r="2" spans="1:55" ht="15.5" x14ac:dyDescent="0.35">
      <c r="A2" s="188"/>
      <c r="B2" s="188"/>
      <c r="C2" s="188"/>
      <c r="D2" s="190"/>
      <c r="E2" s="188"/>
      <c r="F2" s="188"/>
      <c r="G2" s="17">
        <v>1E-3</v>
      </c>
      <c r="H2" s="18">
        <v>1.6E-2</v>
      </c>
      <c r="I2" s="18">
        <v>2.7000000000000003E-2</v>
      </c>
      <c r="J2" s="18">
        <v>4.7E-2</v>
      </c>
      <c r="K2" s="18">
        <v>8.1000000000000003E-2</v>
      </c>
      <c r="L2" s="18">
        <v>0.13899999999999998</v>
      </c>
      <c r="M2" s="18">
        <v>0.23799999999999999</v>
      </c>
      <c r="N2" s="18">
        <v>0.40599999999999997</v>
      </c>
      <c r="O2" s="18">
        <v>0.7</v>
      </c>
      <c r="P2" s="18">
        <v>1.2</v>
      </c>
      <c r="Q2" s="180"/>
      <c r="R2" s="20"/>
      <c r="AA2" s="185"/>
      <c r="AB2" s="185"/>
      <c r="AC2" s="185"/>
      <c r="AD2" s="185"/>
      <c r="AE2" s="185"/>
      <c r="AF2" s="137"/>
      <c r="AG2" s="183" t="s">
        <v>45</v>
      </c>
      <c r="AH2" s="183"/>
      <c r="AI2" s="183"/>
      <c r="AJ2" s="183"/>
      <c r="AK2" s="183"/>
      <c r="AL2" s="183"/>
      <c r="AM2" s="183"/>
      <c r="AN2" s="183"/>
      <c r="AO2" s="183"/>
      <c r="AP2" s="183"/>
      <c r="AQ2" s="184"/>
    </row>
    <row r="3" spans="1:55" ht="15.5" x14ac:dyDescent="0.35">
      <c r="A3" s="188"/>
      <c r="B3" s="188"/>
      <c r="C3" s="188"/>
      <c r="D3" s="190"/>
      <c r="E3" s="188"/>
      <c r="F3" s="188"/>
      <c r="G3" s="181" t="s">
        <v>47</v>
      </c>
      <c r="H3" s="181"/>
      <c r="I3" s="181"/>
      <c r="J3" s="181"/>
      <c r="K3" s="181"/>
      <c r="L3" s="181"/>
      <c r="M3" s="181"/>
      <c r="N3" s="181"/>
      <c r="O3" s="181"/>
      <c r="P3" s="181"/>
      <c r="Q3" s="180"/>
      <c r="R3" s="20"/>
      <c r="AA3" s="185"/>
      <c r="AB3" s="185"/>
      <c r="AC3" s="185"/>
      <c r="AD3" s="185"/>
      <c r="AE3" s="185"/>
      <c r="AF3" s="137"/>
      <c r="AG3" s="141">
        <v>1E-3</v>
      </c>
      <c r="AH3" s="142">
        <v>1.6E-2</v>
      </c>
      <c r="AI3" s="142">
        <v>2.7000000000000003E-2</v>
      </c>
      <c r="AJ3" s="142">
        <v>4.7E-2</v>
      </c>
      <c r="AK3" s="142">
        <v>8.1000000000000003E-2</v>
      </c>
      <c r="AL3" s="142">
        <v>0.13899999999999998</v>
      </c>
      <c r="AM3" s="142">
        <v>0.23799999999999999</v>
      </c>
      <c r="AN3" s="142">
        <v>0.40599999999999997</v>
      </c>
      <c r="AO3" s="142">
        <v>0.7</v>
      </c>
      <c r="AP3" s="142">
        <v>1.2</v>
      </c>
      <c r="AQ3" s="184"/>
    </row>
    <row r="4" spans="1:55" ht="15.5" x14ac:dyDescent="0.35">
      <c r="G4" s="25"/>
      <c r="H4" s="25"/>
      <c r="I4" s="25"/>
      <c r="J4" s="25"/>
      <c r="K4" s="25"/>
      <c r="L4" s="25"/>
      <c r="M4" s="25"/>
      <c r="N4" s="25"/>
      <c r="O4" s="25"/>
      <c r="P4" s="26" t="s">
        <v>42</v>
      </c>
      <c r="Q4" s="79"/>
      <c r="R4" s="189" t="s">
        <v>141</v>
      </c>
      <c r="S4" s="189"/>
      <c r="T4" s="189"/>
      <c r="U4" s="189"/>
      <c r="V4" s="189"/>
      <c r="W4" s="189"/>
      <c r="X4" s="189"/>
      <c r="Y4" s="189"/>
      <c r="Z4" s="189"/>
      <c r="AA4" s="24" t="s">
        <v>37</v>
      </c>
      <c r="AB4" s="24" t="s">
        <v>38</v>
      </c>
      <c r="AC4" s="139" t="s">
        <v>37</v>
      </c>
      <c r="AD4" s="139" t="s">
        <v>38</v>
      </c>
      <c r="AE4" s="138" t="s">
        <v>42</v>
      </c>
      <c r="AF4" s="25"/>
      <c r="AG4" s="181" t="s">
        <v>47</v>
      </c>
      <c r="AH4" s="181"/>
      <c r="AI4" s="181"/>
      <c r="AJ4" s="181"/>
      <c r="AK4" s="181"/>
      <c r="AL4" s="181"/>
      <c r="AM4" s="181"/>
      <c r="AN4" s="181"/>
      <c r="AO4" s="181"/>
      <c r="AP4" s="181"/>
      <c r="AQ4" s="144" t="s">
        <v>139</v>
      </c>
    </row>
    <row r="5" spans="1:55" x14ac:dyDescent="0.35">
      <c r="A5" s="73" t="s">
        <v>48</v>
      </c>
      <c r="B5" s="73">
        <v>1</v>
      </c>
      <c r="C5" s="72" t="s">
        <v>90</v>
      </c>
      <c r="D5" s="73">
        <v>1</v>
      </c>
      <c r="E5" s="74">
        <v>38.140999999999998</v>
      </c>
      <c r="F5" s="75">
        <v>36.450000000000003</v>
      </c>
      <c r="G5" s="76">
        <v>100</v>
      </c>
      <c r="H5" s="73">
        <v>96.13</v>
      </c>
      <c r="I5" s="73">
        <v>95.13</v>
      </c>
      <c r="J5" s="73">
        <v>93.1</v>
      </c>
      <c r="K5" s="73">
        <v>89.29</v>
      </c>
      <c r="L5" s="73">
        <v>81.099999999999994</v>
      </c>
      <c r="M5" s="73">
        <v>72.040000000000006</v>
      </c>
      <c r="N5" s="73">
        <v>64.739999999999995</v>
      </c>
      <c r="O5" s="73">
        <v>59.34</v>
      </c>
      <c r="P5" s="73">
        <v>56.31</v>
      </c>
      <c r="Q5" s="21"/>
      <c r="R5" s="21">
        <f>(100-G5)/(G5-$P5)</f>
        <v>0</v>
      </c>
      <c r="S5" s="21">
        <f>(100-H5)/(H5-$P5)</f>
        <v>9.7187343043696764E-2</v>
      </c>
      <c r="T5" s="21">
        <f>(100-I5)/(I5-$P5)</f>
        <v>0.12545079855744476</v>
      </c>
      <c r="U5" s="21">
        <f t="shared" ref="U5:Y5" si="0">(100-J5)/(J5-$P5)</f>
        <v>0.18755096493612414</v>
      </c>
      <c r="V5" s="21">
        <f t="shared" si="0"/>
        <v>0.3247422680412369</v>
      </c>
      <c r="W5" s="21">
        <f t="shared" si="0"/>
        <v>0.76240419524001657</v>
      </c>
      <c r="X5" s="21">
        <f t="shared" si="0"/>
        <v>1.7774952320406858</v>
      </c>
      <c r="Y5" s="21">
        <f t="shared" si="0"/>
        <v>4.182680901542116</v>
      </c>
      <c r="Z5" s="21">
        <f>(100-O5)/(O5-$P5)</f>
        <v>13.419141914191412</v>
      </c>
      <c r="AA5" s="23">
        <f>INDEX(LINEST(LN($H$2:$O$2),LN(S5:Z5)),1)</f>
        <v>0.73341324254966167</v>
      </c>
      <c r="AB5" s="23">
        <f>EXP(INDEX(LINEST(LN($H$2:$O$2),LN(S5:Z5)),1,2))</f>
        <v>0.13742970504654586</v>
      </c>
      <c r="AC5" s="145">
        <v>0.71</v>
      </c>
      <c r="AD5" s="145">
        <f>0.4265 *E5^(-0.313)</f>
        <v>0.13644050428695326</v>
      </c>
      <c r="AE5" s="145">
        <f xml:space="preserve"> -9.228* LN(E5) + 87.252</f>
        <v>53.650177550074162</v>
      </c>
      <c r="AG5" s="143">
        <f>($AE5*AG$3^(1/$AC5)+100*$AD5^(1/$AC5))/(AG$3^(1/$AC5)+$AD5^(1/$AC5))</f>
        <v>99.954432156016608</v>
      </c>
      <c r="AH5" s="143">
        <f t="shared" ref="AH5:AP20" si="1">($AE5*AH$3^(1/$AC5)+100*$AD5^(1/$AC5))/(AH$3^(1/$AC5)+$AD5^(1/$AC5))</f>
        <v>97.840712456933758</v>
      </c>
      <c r="AI5" s="143">
        <f t="shared" si="1"/>
        <v>95.705937422077014</v>
      </c>
      <c r="AJ5" s="143">
        <f t="shared" si="1"/>
        <v>91.551822217722815</v>
      </c>
      <c r="AK5" s="143">
        <f t="shared" si="1"/>
        <v>84.972222400643389</v>
      </c>
      <c r="AL5" s="143">
        <f t="shared" si="1"/>
        <v>76.521787640174679</v>
      </c>
      <c r="AM5" s="143">
        <f t="shared" si="1"/>
        <v>68.182544909592593</v>
      </c>
      <c r="AN5" s="143">
        <f t="shared" si="1"/>
        <v>61.860451297000921</v>
      </c>
      <c r="AO5" s="143">
        <f t="shared" si="1"/>
        <v>57.861876058145924</v>
      </c>
      <c r="AP5" s="143">
        <f t="shared" si="1"/>
        <v>55.721648585227321</v>
      </c>
      <c r="AQ5" s="140">
        <f>SUM(AT5:BC5)/COUNT($AG$3:$AP$3)*100</f>
        <v>2.7912566244111665</v>
      </c>
      <c r="AT5">
        <f>ABS((G5-AG5)/G5)</f>
        <v>4.5567843983391755E-4</v>
      </c>
      <c r="AU5">
        <f t="shared" ref="AU5:BA5" si="2">ABS((H5-AH5)/H5)</f>
        <v>1.7795822916194349E-2</v>
      </c>
      <c r="AV5">
        <f t="shared" si="2"/>
        <v>6.0542144652267257E-3</v>
      </c>
      <c r="AW5">
        <f t="shared" si="2"/>
        <v>1.6629192076016961E-2</v>
      </c>
      <c r="AX5">
        <f t="shared" si="2"/>
        <v>4.8356787986970733E-2</v>
      </c>
      <c r="AY5">
        <f t="shared" si="2"/>
        <v>5.6451447100188845E-2</v>
      </c>
      <c r="AZ5">
        <f t="shared" si="2"/>
        <v>5.3546017357126774E-2</v>
      </c>
      <c r="BA5">
        <f t="shared" si="2"/>
        <v>4.4478663932639391E-2</v>
      </c>
      <c r="BB5">
        <f>ABS((O5-AO5)/O5)</f>
        <v>2.4909402457938646E-2</v>
      </c>
      <c r="BC5">
        <f>ABS((P5-AP5)/P5)</f>
        <v>1.0448435708980311E-2</v>
      </c>
    </row>
    <row r="6" spans="1:55" x14ac:dyDescent="0.35">
      <c r="A6" s="73" t="s">
        <v>48</v>
      </c>
      <c r="B6" s="73">
        <v>1</v>
      </c>
      <c r="C6" s="72" t="s">
        <v>90</v>
      </c>
      <c r="D6" s="73">
        <v>2</v>
      </c>
      <c r="E6" s="75">
        <v>16.763000000000002</v>
      </c>
      <c r="F6" s="75">
        <v>35.78</v>
      </c>
      <c r="G6" s="76">
        <v>100</v>
      </c>
      <c r="H6" s="73">
        <v>96.28</v>
      </c>
      <c r="I6" s="73">
        <v>95.4</v>
      </c>
      <c r="J6" s="73">
        <v>94.5</v>
      </c>
      <c r="K6" s="73">
        <v>92.4</v>
      </c>
      <c r="L6" s="73">
        <v>88.74</v>
      </c>
      <c r="M6" s="73">
        <v>79.58</v>
      </c>
      <c r="N6" s="73">
        <v>71.16</v>
      </c>
      <c r="O6" s="73">
        <v>65.42</v>
      </c>
      <c r="P6" s="73">
        <v>62.01</v>
      </c>
      <c r="Q6" s="49"/>
      <c r="R6" s="21">
        <f t="shared" ref="R6:R69" si="3">(100-G6)/(G6-$P6)</f>
        <v>0</v>
      </c>
      <c r="S6" s="21">
        <f t="shared" ref="S6:S69" si="4">(100-H6)/(H6-$P6)</f>
        <v>0.10854975196965272</v>
      </c>
      <c r="T6" s="21">
        <f t="shared" ref="T6:T69" si="5">(100-I6)/(I6-$P6)</f>
        <v>0.13776579814315643</v>
      </c>
      <c r="U6" s="21">
        <f t="shared" ref="U6:U69" si="6">(100-J6)/(J6-$P6)</f>
        <v>0.16928285626346568</v>
      </c>
      <c r="V6" s="21">
        <f t="shared" ref="V6:V69" si="7">(100-K6)/(K6-$P6)</f>
        <v>0.2500822639025993</v>
      </c>
      <c r="W6" s="21">
        <f t="shared" ref="W6:W69" si="8">(100-L6)/(L6-$P6)</f>
        <v>0.42124953236064372</v>
      </c>
      <c r="X6" s="21">
        <f t="shared" ref="X6:X69" si="9">(100-M6)/(M6-$P6)</f>
        <v>1.1622083096186682</v>
      </c>
      <c r="Y6" s="21">
        <f t="shared" ref="Y6:Y69" si="10">(100-N6)/(N6-$P6)</f>
        <v>3.1519125683060119</v>
      </c>
      <c r="Z6" s="21">
        <f t="shared" ref="Z6:Z69" si="11">(100-O6)/(O6-$P6)</f>
        <v>10.140762463343098</v>
      </c>
      <c r="AA6" s="23">
        <f t="shared" ref="AA6:AA69" si="12">INDEX(LINEST(LN($H$2:$O$2),LN(S6:Z6)),1)</f>
        <v>0.77482855405597451</v>
      </c>
      <c r="AB6" s="23" cm="1">
        <f t="array" ref="AB6">EXP(INDEX(LINEST(LN($H$2:$O$2),LN(S6:Z6)),1,2))</f>
        <v>0.16510537922346305</v>
      </c>
      <c r="AC6" s="145">
        <v>0.71</v>
      </c>
      <c r="AD6" s="145">
        <f t="shared" ref="AD6:AD69" si="13">0.4265 *E6^(-0.313)</f>
        <v>0.17648058687380816</v>
      </c>
      <c r="AE6" s="145">
        <f t="shared" ref="AE6:AE69" si="14" xml:space="preserve"> -9.228* LN(E6) + 87.252</f>
        <v>61.236661620681723</v>
      </c>
      <c r="AG6" s="143">
        <f t="shared" ref="AG6:AP37" si="15">($AE6*AG$3^(1/$AC6)+100*$AD6^(1/$AC6))/(AG$3^(1/$AC6)+$AD6^(1/$AC6))</f>
        <v>99.973468492191984</v>
      </c>
      <c r="AH6" s="143">
        <f t="shared" si="1"/>
        <v>98.725091540087448</v>
      </c>
      <c r="AI6" s="143">
        <f t="shared" si="1"/>
        <v>97.42812664615056</v>
      </c>
      <c r="AJ6" s="143">
        <f t="shared" si="1"/>
        <v>94.794115575500967</v>
      </c>
      <c r="AK6" s="143">
        <f t="shared" si="1"/>
        <v>90.296333053582813</v>
      </c>
      <c r="AL6" s="143">
        <f t="shared" si="1"/>
        <v>83.846507807561693</v>
      </c>
      <c r="AM6" s="143">
        <f t="shared" si="1"/>
        <v>76.595743308990748</v>
      </c>
      <c r="AN6" s="143">
        <f t="shared" si="1"/>
        <v>70.393871645189165</v>
      </c>
      <c r="AO6" s="143">
        <f t="shared" si="1"/>
        <v>66.104376924709896</v>
      </c>
      <c r="AP6" s="143">
        <f t="shared" si="1"/>
        <v>63.678151005920512</v>
      </c>
      <c r="AQ6" s="140">
        <f t="shared" ref="AQ6:AQ69" si="16">SUM(AT6:BC6)/COUNT($AG$3:$AP$3)*100</f>
        <v>2.1357254775477381</v>
      </c>
      <c r="AT6">
        <f t="shared" ref="AT6:AT69" si="17">ABS((G6-AG6)/G6)</f>
        <v>2.6531507808016388E-4</v>
      </c>
      <c r="AU6">
        <f t="shared" ref="AU6:AU69" si="18">ABS((H6-AH6)/H6)</f>
        <v>2.5395632946483657E-2</v>
      </c>
      <c r="AV6">
        <f t="shared" ref="AV6:AV69" si="19">ABS((I6-AI6)/I6)</f>
        <v>2.1259189163003709E-2</v>
      </c>
      <c r="AW6">
        <f t="shared" ref="AW6:AW69" si="20">ABS((J6-AJ6)/J6)</f>
        <v>3.1123341322853697E-3</v>
      </c>
      <c r="AX6">
        <f t="shared" ref="AX6:AX69" si="21">ABS((K6-AK6)/K6)</f>
        <v>2.2766958294558357E-2</v>
      </c>
      <c r="AY6">
        <f t="shared" ref="AY6:AY69" si="22">ABS((L6-AL6)/L6)</f>
        <v>5.5144153622248164E-2</v>
      </c>
      <c r="AZ6">
        <f t="shared" ref="AZ6:AZ69" si="23">ABS((M6-AM6)/M6)</f>
        <v>3.7500084079030535E-2</v>
      </c>
      <c r="BA6">
        <f t="shared" ref="BA6:BA69" si="24">ABS((N6-AN6)/N6)</f>
        <v>1.0766278173283187E-2</v>
      </c>
      <c r="BB6">
        <f t="shared" ref="BB6:BB69" si="25">ABS((O6-AO6)/O6)</f>
        <v>1.0461279802963845E-2</v>
      </c>
      <c r="BC6">
        <f t="shared" ref="BC6:BC69" si="26">ABS((P6-AP6)/P6)</f>
        <v>2.6901322462836861E-2</v>
      </c>
    </row>
    <row r="7" spans="1:55" x14ac:dyDescent="0.35">
      <c r="A7" s="73" t="s">
        <v>48</v>
      </c>
      <c r="B7" s="73">
        <v>1</v>
      </c>
      <c r="C7" s="72" t="s">
        <v>90</v>
      </c>
      <c r="D7" s="73">
        <v>3</v>
      </c>
      <c r="E7" s="75">
        <v>12.314</v>
      </c>
      <c r="F7" s="75">
        <v>34</v>
      </c>
      <c r="G7" s="76">
        <v>100</v>
      </c>
      <c r="H7" s="73">
        <v>97.49</v>
      </c>
      <c r="I7" s="73">
        <v>96.49</v>
      </c>
      <c r="J7" s="73">
        <v>95.23</v>
      </c>
      <c r="K7" s="73">
        <v>93.53</v>
      </c>
      <c r="L7" s="73">
        <v>89.53</v>
      </c>
      <c r="M7" s="73">
        <v>82.04</v>
      </c>
      <c r="N7" s="73">
        <v>72.66</v>
      </c>
      <c r="O7" s="73">
        <v>65.900000000000006</v>
      </c>
      <c r="P7" s="73">
        <v>62.9</v>
      </c>
      <c r="Q7" s="49"/>
      <c r="R7" s="21">
        <f t="shared" si="3"/>
        <v>0</v>
      </c>
      <c r="S7" s="21">
        <f t="shared" si="4"/>
        <v>7.2564324949407497E-2</v>
      </c>
      <c r="T7" s="21">
        <f t="shared" si="5"/>
        <v>0.10449538553140832</v>
      </c>
      <c r="U7" s="21">
        <f t="shared" si="6"/>
        <v>0.14754098360655724</v>
      </c>
      <c r="V7" s="21">
        <f t="shared" si="7"/>
        <v>0.21123081945804761</v>
      </c>
      <c r="W7" s="21">
        <f t="shared" si="8"/>
        <v>0.39316560270371753</v>
      </c>
      <c r="X7" s="21">
        <f t="shared" si="9"/>
        <v>0.93834900731452386</v>
      </c>
      <c r="Y7" s="21">
        <f t="shared" si="10"/>
        <v>2.8012295081967222</v>
      </c>
      <c r="Z7" s="21">
        <f t="shared" si="11"/>
        <v>11.366666666666639</v>
      </c>
      <c r="AA7" s="23">
        <f t="shared" si="12"/>
        <v>0.72621724100933371</v>
      </c>
      <c r="AB7" s="23" cm="1">
        <f t="array" ref="AB7">EXP(INDEX(LINEST(LN($H$2:$O$2),LN(S7:Z7)),1,2))</f>
        <v>0.18019390449058487</v>
      </c>
      <c r="AC7" s="145">
        <v>0.71</v>
      </c>
      <c r="AD7" s="145">
        <f t="shared" si="13"/>
        <v>0.19436770277606119</v>
      </c>
      <c r="AE7" s="145">
        <f t="shared" si="14"/>
        <v>64.082920565159341</v>
      </c>
      <c r="AG7" s="143">
        <f t="shared" si="15"/>
        <v>99.978540123130458</v>
      </c>
      <c r="AH7" s="143">
        <f t="shared" si="1"/>
        <v>98.964556850829368</v>
      </c>
      <c r="AI7" s="143">
        <f t="shared" si="1"/>
        <v>97.902239374553844</v>
      </c>
      <c r="AJ7" s="143">
        <f t="shared" si="1"/>
        <v>95.716476173128214</v>
      </c>
      <c r="AK7" s="143">
        <f t="shared" si="1"/>
        <v>91.893940931770601</v>
      </c>
      <c r="AL7" s="143">
        <f t="shared" si="1"/>
        <v>86.204594640332743</v>
      </c>
      <c r="AM7" s="143">
        <f t="shared" si="1"/>
        <v>79.497457037646001</v>
      </c>
      <c r="AN7" s="143">
        <f t="shared" si="1"/>
        <v>73.480231989850864</v>
      </c>
      <c r="AO7" s="143">
        <f t="shared" si="1"/>
        <v>69.157333522995586</v>
      </c>
      <c r="AP7" s="143">
        <f t="shared" si="1"/>
        <v>66.65107464956013</v>
      </c>
      <c r="AQ7" s="140">
        <f t="shared" si="16"/>
        <v>2.4106372050680593</v>
      </c>
      <c r="AT7">
        <f t="shared" si="17"/>
        <v>2.1459876869542427E-4</v>
      </c>
      <c r="AU7">
        <f t="shared" si="18"/>
        <v>1.5125211312230722E-2</v>
      </c>
      <c r="AV7">
        <f t="shared" si="19"/>
        <v>1.4636121614196796E-2</v>
      </c>
      <c r="AW7">
        <f t="shared" si="20"/>
        <v>5.1084340347391588E-3</v>
      </c>
      <c r="AX7">
        <f t="shared" si="21"/>
        <v>1.749234543172672E-2</v>
      </c>
      <c r="AY7">
        <f t="shared" si="22"/>
        <v>3.7142917007341202E-2</v>
      </c>
      <c r="AZ7">
        <f t="shared" si="23"/>
        <v>3.0991503685446189E-2</v>
      </c>
      <c r="BA7">
        <f t="shared" si="24"/>
        <v>1.1288631844905968E-2</v>
      </c>
      <c r="BB7">
        <f t="shared" si="25"/>
        <v>4.9428429787489833E-2</v>
      </c>
      <c r="BC7">
        <f t="shared" si="26"/>
        <v>5.9635527020033878E-2</v>
      </c>
    </row>
    <row r="8" spans="1:55" x14ac:dyDescent="0.35">
      <c r="A8" s="73" t="s">
        <v>48</v>
      </c>
      <c r="B8" s="73">
        <v>1</v>
      </c>
      <c r="C8" s="72" t="s">
        <v>90</v>
      </c>
      <c r="D8" s="73">
        <v>4</v>
      </c>
      <c r="E8" s="74">
        <v>50.798999999999999</v>
      </c>
      <c r="F8" s="75">
        <v>36.770000000000003</v>
      </c>
      <c r="G8" s="76">
        <v>100</v>
      </c>
      <c r="H8" s="73">
        <v>94.43</v>
      </c>
      <c r="I8" s="73">
        <v>93.4</v>
      </c>
      <c r="J8" s="73">
        <v>91.48</v>
      </c>
      <c r="K8" s="73">
        <v>85.23</v>
      </c>
      <c r="L8" s="73">
        <v>75.489999999999995</v>
      </c>
      <c r="M8" s="73">
        <v>66.59</v>
      </c>
      <c r="N8" s="73">
        <v>60.4</v>
      </c>
      <c r="O8" s="73">
        <v>56.4</v>
      </c>
      <c r="P8" s="73">
        <v>54.3</v>
      </c>
      <c r="Q8" s="49"/>
      <c r="R8" s="21">
        <f t="shared" si="3"/>
        <v>0</v>
      </c>
      <c r="S8" s="21">
        <f t="shared" si="4"/>
        <v>0.13879890356341867</v>
      </c>
      <c r="T8" s="21">
        <f t="shared" si="5"/>
        <v>0.1687979539641942</v>
      </c>
      <c r="U8" s="21">
        <f t="shared" si="6"/>
        <v>0.22915545992469055</v>
      </c>
      <c r="V8" s="21">
        <f t="shared" si="7"/>
        <v>0.47752990623989633</v>
      </c>
      <c r="W8" s="21">
        <f t="shared" si="8"/>
        <v>1.1566776781500712</v>
      </c>
      <c r="X8" s="21">
        <f t="shared" si="9"/>
        <v>2.7184703010577689</v>
      </c>
      <c r="Y8" s="21">
        <f t="shared" si="10"/>
        <v>6.4918032786885229</v>
      </c>
      <c r="Z8" s="21">
        <f t="shared" si="11"/>
        <v>20.761904761904749</v>
      </c>
      <c r="AA8" s="23">
        <f t="shared" si="12"/>
        <v>0.70848903809029218</v>
      </c>
      <c r="AB8" s="23" cm="1">
        <f t="array" ref="AB8">EXP(INDEX(LINEST(LN($H$2:$O$2),LN(S8:Z8)),1,2))</f>
        <v>0.10482560290372236</v>
      </c>
      <c r="AC8" s="145">
        <v>0.71</v>
      </c>
      <c r="AD8" s="145">
        <f t="shared" si="13"/>
        <v>0.12473443651135593</v>
      </c>
      <c r="AE8" s="145">
        <f t="shared" si="14"/>
        <v>51.005554095226074</v>
      </c>
      <c r="AG8" s="143">
        <f t="shared" si="15"/>
        <v>99.945352701204314</v>
      </c>
      <c r="AH8" s="143">
        <f t="shared" si="1"/>
        <v>97.426275567031738</v>
      </c>
      <c r="AI8" s="143">
        <f t="shared" si="1"/>
        <v>94.913123225713633</v>
      </c>
      <c r="AJ8" s="143">
        <f t="shared" si="1"/>
        <v>90.109931435247915</v>
      </c>
      <c r="AK8" s="143">
        <f t="shared" si="1"/>
        <v>82.729606077159545</v>
      </c>
      <c r="AL8" s="143">
        <f t="shared" si="1"/>
        <v>73.638270255982562</v>
      </c>
      <c r="AM8" s="143">
        <f t="shared" si="1"/>
        <v>65.067182206390356</v>
      </c>
      <c r="AN8" s="143">
        <f t="shared" si="1"/>
        <v>58.818507456773105</v>
      </c>
      <c r="AO8" s="143">
        <f t="shared" si="1"/>
        <v>54.97195183567483</v>
      </c>
      <c r="AP8" s="143">
        <f t="shared" si="1"/>
        <v>52.945628819816228</v>
      </c>
      <c r="AQ8" s="140">
        <f t="shared" si="16"/>
        <v>2.1663484621867792</v>
      </c>
      <c r="AT8">
        <f t="shared" si="17"/>
        <v>5.4647298795686085E-4</v>
      </c>
      <c r="AU8">
        <f t="shared" si="18"/>
        <v>3.1730123552173362E-2</v>
      </c>
      <c r="AV8">
        <f t="shared" si="19"/>
        <v>1.6200462802073098E-2</v>
      </c>
      <c r="AW8">
        <f t="shared" si="20"/>
        <v>1.4976700532926197E-2</v>
      </c>
      <c r="AX8">
        <f t="shared" si="21"/>
        <v>2.9337016576797593E-2</v>
      </c>
      <c r="AY8">
        <f t="shared" si="22"/>
        <v>2.4529470711583432E-2</v>
      </c>
      <c r="AZ8">
        <f t="shared" si="23"/>
        <v>2.2868565754762683E-2</v>
      </c>
      <c r="BA8">
        <f t="shared" si="24"/>
        <v>2.6183651377928701E-2</v>
      </c>
      <c r="BB8">
        <f t="shared" si="25"/>
        <v>2.5320002913566828E-2</v>
      </c>
      <c r="BC8">
        <f t="shared" si="26"/>
        <v>2.4942379008909187E-2</v>
      </c>
    </row>
    <row r="9" spans="1:55" x14ac:dyDescent="0.35">
      <c r="A9" s="73" t="s">
        <v>48</v>
      </c>
      <c r="B9" s="73">
        <v>1</v>
      </c>
      <c r="C9" s="72" t="s">
        <v>90</v>
      </c>
      <c r="D9" s="73">
        <v>5</v>
      </c>
      <c r="E9" s="74">
        <v>38.279000000000003</v>
      </c>
      <c r="F9" s="75">
        <v>37</v>
      </c>
      <c r="G9" s="76">
        <v>100</v>
      </c>
      <c r="H9" s="73">
        <v>94.7</v>
      </c>
      <c r="I9" s="73">
        <v>93.7</v>
      </c>
      <c r="J9" s="73">
        <v>92.25</v>
      </c>
      <c r="K9" s="73">
        <v>89.04</v>
      </c>
      <c r="L9" s="73">
        <v>79.349999999999994</v>
      </c>
      <c r="M9" s="73">
        <v>69.12</v>
      </c>
      <c r="N9" s="73">
        <v>61.31</v>
      </c>
      <c r="O9" s="73">
        <v>56.15</v>
      </c>
      <c r="P9" s="73">
        <v>53.15</v>
      </c>
      <c r="Q9" s="49"/>
      <c r="R9" s="21">
        <f t="shared" si="3"/>
        <v>0</v>
      </c>
      <c r="S9" s="21">
        <f t="shared" si="4"/>
        <v>0.12755716004813469</v>
      </c>
      <c r="T9" s="21">
        <f t="shared" si="5"/>
        <v>0.15536374845869289</v>
      </c>
      <c r="U9" s="21">
        <f t="shared" si="6"/>
        <v>0.19820971867007672</v>
      </c>
      <c r="V9" s="21">
        <f t="shared" si="7"/>
        <v>0.30537754249094429</v>
      </c>
      <c r="W9" s="21">
        <f t="shared" si="8"/>
        <v>0.78816793893129811</v>
      </c>
      <c r="X9" s="21">
        <f t="shared" si="9"/>
        <v>1.9336255479023159</v>
      </c>
      <c r="Y9" s="21">
        <f t="shared" si="10"/>
        <v>4.7414215686274481</v>
      </c>
      <c r="Z9" s="21">
        <f t="shared" si="11"/>
        <v>14.616666666666667</v>
      </c>
      <c r="AA9" s="23">
        <f t="shared" si="12"/>
        <v>0.73632211517155077</v>
      </c>
      <c r="AB9" s="23" cm="1">
        <f t="array" ref="AB9">EXP(INDEX(LINEST(LN($H$2:$O$2),LN(S9:Z9)),1,2))</f>
        <v>0.12771505293812177</v>
      </c>
      <c r="AC9" s="145">
        <v>0.71</v>
      </c>
      <c r="AD9" s="145">
        <f t="shared" si="13"/>
        <v>0.13628635386217863</v>
      </c>
      <c r="AE9" s="145">
        <f t="shared" si="14"/>
        <v>53.616849484535386</v>
      </c>
      <c r="AG9" s="143">
        <f t="shared" si="15"/>
        <v>99.95432680018871</v>
      </c>
      <c r="AH9" s="143">
        <f t="shared" si="1"/>
        <v>97.835877302019853</v>
      </c>
      <c r="AI9" s="143">
        <f t="shared" si="1"/>
        <v>95.696637802903865</v>
      </c>
      <c r="AJ9" s="143">
        <f t="shared" si="1"/>
        <v>91.534734825504643</v>
      </c>
      <c r="AK9" s="143">
        <f t="shared" si="1"/>
        <v>84.945231371625468</v>
      </c>
      <c r="AL9" s="143">
        <f t="shared" si="1"/>
        <v>76.486446449967403</v>
      </c>
      <c r="AM9" s="143">
        <f t="shared" si="1"/>
        <v>68.143776358389914</v>
      </c>
      <c r="AN9" s="143">
        <f t="shared" si="1"/>
        <v>61.822268101650465</v>
      </c>
      <c r="AO9" s="143">
        <f t="shared" si="1"/>
        <v>57.825479631775764</v>
      </c>
      <c r="AP9" s="143">
        <f t="shared" si="1"/>
        <v>55.686659313406672</v>
      </c>
      <c r="AQ9" s="140">
        <f t="shared" si="16"/>
        <v>2.4475327812150884</v>
      </c>
      <c r="AT9">
        <f t="shared" si="17"/>
        <v>4.5673199811290032E-4</v>
      </c>
      <c r="AU9">
        <f t="shared" si="18"/>
        <v>3.3113804667580252E-2</v>
      </c>
      <c r="AV9">
        <f t="shared" si="19"/>
        <v>2.1308834609432895E-2</v>
      </c>
      <c r="AW9">
        <f t="shared" si="20"/>
        <v>7.7535520270499434E-3</v>
      </c>
      <c r="AX9">
        <f t="shared" si="21"/>
        <v>4.5987967524422038E-2</v>
      </c>
      <c r="AY9">
        <f t="shared" si="22"/>
        <v>3.608763138037293E-2</v>
      </c>
      <c r="AZ9">
        <f t="shared" si="23"/>
        <v>1.4123605926071909E-2</v>
      </c>
      <c r="BA9">
        <f t="shared" si="24"/>
        <v>8.3553759851649461E-3</v>
      </c>
      <c r="BB9">
        <f t="shared" si="25"/>
        <v>2.9839352302328856E-2</v>
      </c>
      <c r="BC9">
        <f t="shared" si="26"/>
        <v>4.7726421700972216E-2</v>
      </c>
    </row>
    <row r="10" spans="1:55" x14ac:dyDescent="0.35">
      <c r="A10" s="73" t="s">
        <v>48</v>
      </c>
      <c r="B10" s="73">
        <v>1</v>
      </c>
      <c r="C10" s="72" t="s">
        <v>90</v>
      </c>
      <c r="D10" s="73">
        <v>6</v>
      </c>
      <c r="E10" s="74">
        <v>165.04599999999999</v>
      </c>
      <c r="F10" s="75">
        <v>38.369999999999997</v>
      </c>
      <c r="G10" s="76">
        <v>100</v>
      </c>
      <c r="H10" s="73">
        <v>97.2</v>
      </c>
      <c r="I10" s="73">
        <v>94.89</v>
      </c>
      <c r="J10" s="73">
        <v>87.19</v>
      </c>
      <c r="K10" s="73">
        <v>74.05</v>
      </c>
      <c r="L10" s="73">
        <v>61.29</v>
      </c>
      <c r="M10" s="73">
        <v>51.32</v>
      </c>
      <c r="N10" s="73">
        <v>43.95</v>
      </c>
      <c r="O10" s="73">
        <v>38.44</v>
      </c>
      <c r="P10" s="73">
        <v>34.54</v>
      </c>
      <c r="Q10" s="49"/>
      <c r="R10" s="21">
        <f t="shared" si="3"/>
        <v>0</v>
      </c>
      <c r="S10" s="21">
        <f t="shared" si="4"/>
        <v>4.4685604851579908E-2</v>
      </c>
      <c r="T10" s="21">
        <f t="shared" si="5"/>
        <v>8.4672742336371162E-2</v>
      </c>
      <c r="U10" s="21">
        <f t="shared" si="6"/>
        <v>0.24330484330484337</v>
      </c>
      <c r="V10" s="21">
        <f t="shared" si="7"/>
        <v>0.65679574791192119</v>
      </c>
      <c r="W10" s="21">
        <f t="shared" si="8"/>
        <v>1.4471028037383178</v>
      </c>
      <c r="X10" s="21">
        <f t="shared" si="9"/>
        <v>2.9010727056019068</v>
      </c>
      <c r="Y10" s="21">
        <f t="shared" si="10"/>
        <v>5.956429330499466</v>
      </c>
      <c r="Z10" s="21">
        <f t="shared" si="11"/>
        <v>15.784615384615391</v>
      </c>
      <c r="AA10" s="23">
        <f t="shared" si="12"/>
        <v>0.64141787208855949</v>
      </c>
      <c r="AB10" s="23" cm="1">
        <f t="array" ref="AB10">EXP(INDEX(LINEST(LN($H$2:$O$2),LN(S10:Z10)),1,2))</f>
        <v>0.11845378955513372</v>
      </c>
      <c r="AC10" s="145">
        <v>0.71</v>
      </c>
      <c r="AD10" s="145">
        <f t="shared" si="13"/>
        <v>8.625984420909745E-2</v>
      </c>
      <c r="AE10" s="145">
        <f t="shared" si="14"/>
        <v>40.131762870845797</v>
      </c>
      <c r="AG10" s="143">
        <f t="shared" si="15"/>
        <v>99.887826338481958</v>
      </c>
      <c r="AH10" s="143">
        <f t="shared" si="1"/>
        <v>94.895581464971457</v>
      </c>
      <c r="AI10" s="143">
        <f t="shared" si="1"/>
        <v>90.240497986939275</v>
      </c>
      <c r="AJ10" s="143">
        <f t="shared" si="1"/>
        <v>82.139153815186972</v>
      </c>
      <c r="AK10" s="143">
        <f t="shared" si="1"/>
        <v>71.391286087131121</v>
      </c>
      <c r="AL10" s="143">
        <f t="shared" si="1"/>
        <v>60.370363113302162</v>
      </c>
      <c r="AM10" s="143">
        <f t="shared" si="1"/>
        <v>51.697411623566168</v>
      </c>
      <c r="AN10" s="143">
        <f t="shared" si="1"/>
        <v>46.202894691870171</v>
      </c>
      <c r="AO10" s="143">
        <f t="shared" si="1"/>
        <v>43.112525544560867</v>
      </c>
      <c r="AP10" s="143">
        <f t="shared" si="1"/>
        <v>41.56490687089368</v>
      </c>
      <c r="AQ10" s="140">
        <f t="shared" si="16"/>
        <v>5.6621968910839495</v>
      </c>
      <c r="AT10">
        <f t="shared" si="17"/>
        <v>1.1217366151804243E-3</v>
      </c>
      <c r="AU10">
        <f t="shared" si="18"/>
        <v>2.3708009619635245E-2</v>
      </c>
      <c r="AV10">
        <f t="shared" si="19"/>
        <v>4.8998861977665988E-2</v>
      </c>
      <c r="AW10">
        <f t="shared" si="20"/>
        <v>5.7929191246851995E-2</v>
      </c>
      <c r="AX10">
        <f t="shared" si="21"/>
        <v>3.5904306723414936E-2</v>
      </c>
      <c r="AY10">
        <f t="shared" si="22"/>
        <v>1.5004680807600547E-2</v>
      </c>
      <c r="AZ10">
        <f t="shared" si="23"/>
        <v>7.3540846369089625E-3</v>
      </c>
      <c r="BA10">
        <f t="shared" si="24"/>
        <v>5.1260402545396308E-2</v>
      </c>
      <c r="BB10">
        <f t="shared" si="25"/>
        <v>0.12155373424976249</v>
      </c>
      <c r="BC10">
        <f t="shared" si="26"/>
        <v>0.20338468068597801</v>
      </c>
    </row>
    <row r="11" spans="1:55" x14ac:dyDescent="0.35">
      <c r="A11" s="73" t="s">
        <v>48</v>
      </c>
      <c r="B11" s="73">
        <v>1</v>
      </c>
      <c r="C11" s="72" t="s">
        <v>90</v>
      </c>
      <c r="D11" s="73">
        <v>7</v>
      </c>
      <c r="E11" s="75">
        <v>19.3626</v>
      </c>
      <c r="F11" s="75">
        <v>36.29</v>
      </c>
      <c r="G11" s="76">
        <v>100</v>
      </c>
      <c r="H11" s="73">
        <v>97.03</v>
      </c>
      <c r="I11" s="73">
        <v>96.03</v>
      </c>
      <c r="J11" s="73">
        <v>94.74</v>
      </c>
      <c r="K11" s="73">
        <v>92.08</v>
      </c>
      <c r="L11" s="73">
        <v>85.11</v>
      </c>
      <c r="M11" s="73">
        <v>74.040000000000006</v>
      </c>
      <c r="N11" s="73">
        <v>65.66</v>
      </c>
      <c r="O11" s="73">
        <v>59.26</v>
      </c>
      <c r="P11" s="73">
        <v>54.67</v>
      </c>
      <c r="Q11" s="49"/>
      <c r="R11" s="21">
        <f t="shared" si="3"/>
        <v>0</v>
      </c>
      <c r="S11" s="21">
        <f t="shared" si="4"/>
        <v>7.0113314447592043E-2</v>
      </c>
      <c r="T11" s="21">
        <f t="shared" si="5"/>
        <v>9.5986460348162453E-2</v>
      </c>
      <c r="U11" s="21">
        <f t="shared" si="6"/>
        <v>0.13127027701522351</v>
      </c>
      <c r="V11" s="21">
        <f t="shared" si="7"/>
        <v>0.21170809943865282</v>
      </c>
      <c r="W11" s="21">
        <f t="shared" si="8"/>
        <v>0.48915900131406048</v>
      </c>
      <c r="X11" s="21">
        <f t="shared" si="9"/>
        <v>1.3402168301497155</v>
      </c>
      <c r="Y11" s="21">
        <f t="shared" si="10"/>
        <v>3.1246587807097379</v>
      </c>
      <c r="Z11" s="21">
        <f t="shared" si="11"/>
        <v>8.8758169934640598</v>
      </c>
      <c r="AA11" s="23">
        <f t="shared" si="12"/>
        <v>0.73562037522273349</v>
      </c>
      <c r="AB11" s="23" cm="1">
        <f t="array" ref="AB11">EXP(INDEX(LINEST(LN($H$2:$O$2),LN(S11:Z11)),1,2))</f>
        <v>0.1780904101228718</v>
      </c>
      <c r="AC11" s="145">
        <v>0.71</v>
      </c>
      <c r="AD11" s="145">
        <f t="shared" si="13"/>
        <v>0.16869391045485058</v>
      </c>
      <c r="AE11" s="145">
        <f t="shared" si="14"/>
        <v>59.90626737839186</v>
      </c>
      <c r="AG11" s="143">
        <f t="shared" si="15"/>
        <v>99.970758482651263</v>
      </c>
      <c r="AH11" s="143">
        <f t="shared" si="1"/>
        <v>98.597831526366306</v>
      </c>
      <c r="AI11" s="143">
        <f t="shared" si="1"/>
        <v>97.177588322063855</v>
      </c>
      <c r="AJ11" s="143">
        <f t="shared" si="1"/>
        <v>94.31223712232584</v>
      </c>
      <c r="AK11" s="143">
        <f t="shared" si="1"/>
        <v>89.477538673646762</v>
      </c>
      <c r="AL11" s="143">
        <f t="shared" si="1"/>
        <v>82.669639963796939</v>
      </c>
      <c r="AM11" s="143">
        <f t="shared" si="1"/>
        <v>75.187072649897331</v>
      </c>
      <c r="AN11" s="143">
        <f t="shared" si="1"/>
        <v>68.925724673637092</v>
      </c>
      <c r="AO11" s="143">
        <f t="shared" si="1"/>
        <v>64.667831924973541</v>
      </c>
      <c r="AP11" s="143">
        <f t="shared" si="1"/>
        <v>62.285274195054313</v>
      </c>
      <c r="AQ11" s="140">
        <f t="shared" si="16"/>
        <v>3.85632952932274</v>
      </c>
      <c r="AT11">
        <f t="shared" si="17"/>
        <v>2.9241517348737033E-4</v>
      </c>
      <c r="AU11">
        <f t="shared" si="18"/>
        <v>1.6158214226180617E-2</v>
      </c>
      <c r="AV11">
        <f t="shared" si="19"/>
        <v>1.1950310549451771E-2</v>
      </c>
      <c r="AW11">
        <f t="shared" si="20"/>
        <v>4.5151243157500014E-3</v>
      </c>
      <c r="AX11">
        <f t="shared" si="21"/>
        <v>2.8263046550317507E-2</v>
      </c>
      <c r="AY11">
        <f t="shared" si="22"/>
        <v>2.8673011822383507E-2</v>
      </c>
      <c r="AZ11">
        <f t="shared" si="23"/>
        <v>1.5492607373005467E-2</v>
      </c>
      <c r="BA11">
        <f t="shared" si="24"/>
        <v>4.9736897253077908E-2</v>
      </c>
      <c r="BB11">
        <f t="shared" si="25"/>
        <v>9.1256023033640624E-2</v>
      </c>
      <c r="BC11">
        <f t="shared" si="26"/>
        <v>0.13929530263497916</v>
      </c>
    </row>
    <row r="12" spans="1:55" x14ac:dyDescent="0.35">
      <c r="A12" s="73" t="s">
        <v>48</v>
      </c>
      <c r="B12" s="73">
        <v>1</v>
      </c>
      <c r="C12" s="72" t="s">
        <v>90</v>
      </c>
      <c r="D12" s="73">
        <v>8</v>
      </c>
      <c r="E12" s="74">
        <v>41.848999999999997</v>
      </c>
      <c r="F12" s="75">
        <v>36.28</v>
      </c>
      <c r="G12" s="76">
        <v>100</v>
      </c>
      <c r="H12" s="73">
        <v>94.22</v>
      </c>
      <c r="I12" s="73">
        <v>93.22</v>
      </c>
      <c r="J12" s="73">
        <v>91.54</v>
      </c>
      <c r="K12" s="73">
        <v>87.09</v>
      </c>
      <c r="L12" s="73">
        <v>75.56</v>
      </c>
      <c r="M12" s="73">
        <v>63.86</v>
      </c>
      <c r="N12" s="73">
        <v>54.65</v>
      </c>
      <c r="O12" s="73">
        <v>48.12</v>
      </c>
      <c r="P12" s="73">
        <v>45.12</v>
      </c>
      <c r="Q12" s="49"/>
      <c r="R12" s="21">
        <f t="shared" si="3"/>
        <v>0</v>
      </c>
      <c r="S12" s="21">
        <f t="shared" si="4"/>
        <v>0.11771894093686357</v>
      </c>
      <c r="T12" s="21">
        <f t="shared" si="5"/>
        <v>0.14095634095634096</v>
      </c>
      <c r="U12" s="21">
        <f t="shared" si="6"/>
        <v>0.18224903059026265</v>
      </c>
      <c r="V12" s="21">
        <f t="shared" si="7"/>
        <v>0.30760066714319739</v>
      </c>
      <c r="W12" s="21">
        <f t="shared" si="8"/>
        <v>0.80289093298291703</v>
      </c>
      <c r="X12" s="21">
        <f t="shared" si="9"/>
        <v>1.9284951974386337</v>
      </c>
      <c r="Y12" s="21">
        <f t="shared" si="10"/>
        <v>4.7586568730325283</v>
      </c>
      <c r="Z12" s="21">
        <f t="shared" si="11"/>
        <v>17.293333333333333</v>
      </c>
      <c r="AA12" s="23">
        <f t="shared" si="12"/>
        <v>0.70623091416902983</v>
      </c>
      <c r="AB12" s="23" cm="1">
        <f t="array" ref="AB12">EXP(INDEX(LINEST(LN($H$2:$O$2),LN(S12:Z12)),1,2))</f>
        <v>0.1274741946281841</v>
      </c>
      <c r="AC12" s="145">
        <v>0.71</v>
      </c>
      <c r="AD12" s="145">
        <f t="shared" si="13"/>
        <v>0.13253531174711611</v>
      </c>
      <c r="AE12" s="145">
        <f t="shared" si="14"/>
        <v>52.794021402305937</v>
      </c>
      <c r="AG12" s="143">
        <f t="shared" si="15"/>
        <v>99.951654889128093</v>
      </c>
      <c r="AH12" s="143">
        <f t="shared" si="1"/>
        <v>97.713461443005187</v>
      </c>
      <c r="AI12" s="143">
        <f t="shared" si="1"/>
        <v>95.461589741856017</v>
      </c>
      <c r="AJ12" s="143">
        <f t="shared" si="1"/>
        <v>91.104247714667224</v>
      </c>
      <c r="AK12" s="143">
        <f t="shared" si="1"/>
        <v>84.268595727518758</v>
      </c>
      <c r="AL12" s="143">
        <f t="shared" si="1"/>
        <v>75.605696038314051</v>
      </c>
      <c r="AM12" s="143">
        <f t="shared" si="1"/>
        <v>67.18246711363085</v>
      </c>
      <c r="AN12" s="143">
        <f t="shared" si="1"/>
        <v>60.878231505360063</v>
      </c>
      <c r="AO12" s="143">
        <f t="shared" si="1"/>
        <v>56.926661960426785</v>
      </c>
      <c r="AP12" s="143">
        <f t="shared" si="1"/>
        <v>54.822840700076988</v>
      </c>
      <c r="AQ12" s="140">
        <f t="shared" si="16"/>
        <v>6.634217978014556</v>
      </c>
      <c r="AT12">
        <f t="shared" si="17"/>
        <v>4.8345110871906628E-4</v>
      </c>
      <c r="AU12">
        <f t="shared" si="18"/>
        <v>3.707770582684343E-2</v>
      </c>
      <c r="AV12">
        <f t="shared" si="19"/>
        <v>2.4046231944389807E-2</v>
      </c>
      <c r="AW12">
        <f t="shared" si="20"/>
        <v>4.7602390794492262E-3</v>
      </c>
      <c r="AX12">
        <f t="shared" si="21"/>
        <v>3.2396420627870542E-2</v>
      </c>
      <c r="AY12">
        <f t="shared" si="22"/>
        <v>6.0476493268989324E-4</v>
      </c>
      <c r="AZ12">
        <f t="shared" si="23"/>
        <v>5.2027358497194649E-2</v>
      </c>
      <c r="BA12">
        <f t="shared" si="24"/>
        <v>0.11396580979615854</v>
      </c>
      <c r="BB12">
        <f t="shared" si="25"/>
        <v>0.18301458770629234</v>
      </c>
      <c r="BC12">
        <f t="shared" si="26"/>
        <v>0.21504522828184819</v>
      </c>
    </row>
    <row r="13" spans="1:55" x14ac:dyDescent="0.35">
      <c r="A13" s="73" t="s">
        <v>48</v>
      </c>
      <c r="B13" s="73">
        <v>2</v>
      </c>
      <c r="C13" s="72" t="s">
        <v>91</v>
      </c>
      <c r="D13" s="73">
        <v>9</v>
      </c>
      <c r="E13" s="74">
        <v>39.237000000000002</v>
      </c>
      <c r="F13" s="75">
        <v>34.450000000000003</v>
      </c>
      <c r="G13" s="76">
        <v>100</v>
      </c>
      <c r="H13" s="73">
        <v>94.67</v>
      </c>
      <c r="I13" s="73">
        <v>93.67</v>
      </c>
      <c r="J13" s="73">
        <v>91.57</v>
      </c>
      <c r="K13" s="73">
        <v>87.96</v>
      </c>
      <c r="L13" s="73">
        <v>81.069999999999993</v>
      </c>
      <c r="M13" s="73">
        <v>71.95</v>
      </c>
      <c r="N13" s="73">
        <v>64.489999999999995</v>
      </c>
      <c r="O13" s="73">
        <v>59.39</v>
      </c>
      <c r="P13" s="73">
        <v>56.39</v>
      </c>
      <c r="Q13" s="49"/>
      <c r="R13" s="21">
        <f t="shared" si="3"/>
        <v>0</v>
      </c>
      <c r="S13" s="21">
        <f t="shared" si="4"/>
        <v>0.13923719958202713</v>
      </c>
      <c r="T13" s="21">
        <f t="shared" si="5"/>
        <v>0.16979613733905574</v>
      </c>
      <c r="U13" s="21">
        <f t="shared" si="6"/>
        <v>0.23962478681068813</v>
      </c>
      <c r="V13" s="21">
        <f t="shared" si="7"/>
        <v>0.38137472283813773</v>
      </c>
      <c r="W13" s="21">
        <f t="shared" si="8"/>
        <v>0.76701782820097297</v>
      </c>
      <c r="X13" s="21">
        <f t="shared" si="9"/>
        <v>1.8026992287917734</v>
      </c>
      <c r="Y13" s="21">
        <f t="shared" si="10"/>
        <v>4.3839506172839542</v>
      </c>
      <c r="Z13" s="21">
        <f t="shared" si="11"/>
        <v>13.536666666666667</v>
      </c>
      <c r="AA13" s="23">
        <f t="shared" si="12"/>
        <v>0.7821822031812381</v>
      </c>
      <c r="AB13" s="23" cm="1">
        <f t="array" ref="AB13">EXP(INDEX(LINEST(LN($H$2:$O$2),LN(S13:Z13)),1,2))</f>
        <v>0.12506035220813894</v>
      </c>
      <c r="AC13" s="145">
        <v>0.71</v>
      </c>
      <c r="AD13" s="145">
        <f t="shared" si="13"/>
        <v>0.13523597978165891</v>
      </c>
      <c r="AE13" s="145">
        <f t="shared" si="14"/>
        <v>53.388744986571943</v>
      </c>
      <c r="AG13" s="143">
        <f t="shared" si="15"/>
        <v>99.953599798097557</v>
      </c>
      <c r="AH13" s="143">
        <f t="shared" si="1"/>
        <v>97.802529585670172</v>
      </c>
      <c r="AI13" s="143">
        <f t="shared" si="1"/>
        <v>95.632531713315387</v>
      </c>
      <c r="AJ13" s="143">
        <f t="shared" si="1"/>
        <v>91.417059533434227</v>
      </c>
      <c r="AK13" s="143">
        <f t="shared" si="1"/>
        <v>84.75963127299363</v>
      </c>
      <c r="AL13" s="143">
        <f t="shared" si="1"/>
        <v>76.243863839480625</v>
      </c>
      <c r="AM13" s="143">
        <f t="shared" si="1"/>
        <v>67.878078532270138</v>
      </c>
      <c r="AN13" s="143">
        <f t="shared" si="1"/>
        <v>61.560817268108238</v>
      </c>
      <c r="AO13" s="143">
        <f t="shared" si="1"/>
        <v>57.576353202186482</v>
      </c>
      <c r="AP13" s="143">
        <f t="shared" si="1"/>
        <v>55.447186460913457</v>
      </c>
      <c r="AQ13" s="140">
        <f t="shared" si="16"/>
        <v>3.0136146359594345</v>
      </c>
      <c r="AT13">
        <f t="shared" si="17"/>
        <v>4.640020190244343E-4</v>
      </c>
      <c r="AU13">
        <f t="shared" si="18"/>
        <v>3.3088936153693564E-2</v>
      </c>
      <c r="AV13">
        <f t="shared" si="19"/>
        <v>2.0951550264923516E-2</v>
      </c>
      <c r="AW13">
        <f t="shared" si="20"/>
        <v>1.6702027581715251E-3</v>
      </c>
      <c r="AX13">
        <f t="shared" si="21"/>
        <v>3.6384364790886359E-2</v>
      </c>
      <c r="AY13">
        <f t="shared" si="22"/>
        <v>5.9530481812253226E-2</v>
      </c>
      <c r="AZ13">
        <f t="shared" si="23"/>
        <v>5.6593766056009243E-2</v>
      </c>
      <c r="BA13">
        <f t="shared" si="24"/>
        <v>4.5420727739056553E-2</v>
      </c>
      <c r="BB13">
        <f t="shared" si="25"/>
        <v>3.0537915437169872E-2</v>
      </c>
      <c r="BC13">
        <f t="shared" si="26"/>
        <v>1.671951656475516E-2</v>
      </c>
    </row>
    <row r="14" spans="1:55" x14ac:dyDescent="0.35">
      <c r="A14" s="73" t="s">
        <v>48</v>
      </c>
      <c r="B14" s="73">
        <v>2</v>
      </c>
      <c r="C14" s="72" t="s">
        <v>91</v>
      </c>
      <c r="D14" s="73">
        <v>10</v>
      </c>
      <c r="E14" s="74">
        <v>68.259399999999999</v>
      </c>
      <c r="F14" s="75">
        <v>36.700000000000003</v>
      </c>
      <c r="G14" s="76">
        <v>100</v>
      </c>
      <c r="H14" s="73">
        <v>97.8</v>
      </c>
      <c r="I14" s="73">
        <v>95.93</v>
      </c>
      <c r="J14" s="73">
        <v>92.1</v>
      </c>
      <c r="K14" s="73">
        <v>84.15</v>
      </c>
      <c r="L14" s="73">
        <v>74.790000000000006</v>
      </c>
      <c r="M14" s="73">
        <v>66.27</v>
      </c>
      <c r="N14" s="73">
        <v>60.57</v>
      </c>
      <c r="O14" s="73">
        <v>56.62</v>
      </c>
      <c r="P14" s="73">
        <v>54.09</v>
      </c>
      <c r="Q14" s="49"/>
      <c r="R14" s="21">
        <f t="shared" si="3"/>
        <v>0</v>
      </c>
      <c r="S14" s="21">
        <f t="shared" si="4"/>
        <v>5.0331731869137572E-2</v>
      </c>
      <c r="T14" s="21">
        <f t="shared" si="5"/>
        <v>9.7275334608030423E-2</v>
      </c>
      <c r="U14" s="21">
        <f t="shared" si="6"/>
        <v>0.20784004209418594</v>
      </c>
      <c r="V14" s="21">
        <f t="shared" si="7"/>
        <v>0.52727877578176952</v>
      </c>
      <c r="W14" s="21">
        <f t="shared" si="8"/>
        <v>1.2178743961352652</v>
      </c>
      <c r="X14" s="21">
        <f t="shared" si="9"/>
        <v>2.7692939244663402</v>
      </c>
      <c r="Y14" s="21">
        <f t="shared" si="10"/>
        <v>6.0848765432098793</v>
      </c>
      <c r="Z14" s="21">
        <f t="shared" si="11"/>
        <v>17.146245059288578</v>
      </c>
      <c r="AA14" s="23">
        <f t="shared" si="12"/>
        <v>0.64654342389819774</v>
      </c>
      <c r="AB14" s="23" cm="1">
        <f t="array" ref="AB14">EXP(INDEX(LINEST(LN($H$2:$O$2),LN(S14:Z14)),1,2))</f>
        <v>0.12082921771688188</v>
      </c>
      <c r="AC14" s="145">
        <v>0.71</v>
      </c>
      <c r="AD14" s="145">
        <f t="shared" si="13"/>
        <v>0.11371720674103035</v>
      </c>
      <c r="AE14" s="145">
        <f t="shared" si="14"/>
        <v>48.279247763326303</v>
      </c>
      <c r="AG14" s="143">
        <f t="shared" si="15"/>
        <v>99.934297340861974</v>
      </c>
      <c r="AH14" s="143">
        <f t="shared" si="1"/>
        <v>96.92757218447278</v>
      </c>
      <c r="AI14" s="143">
        <f t="shared" si="1"/>
        <v>93.970166055276508</v>
      </c>
      <c r="AJ14" s="143">
        <f t="shared" si="1"/>
        <v>88.432111485351285</v>
      </c>
      <c r="AK14" s="143">
        <f t="shared" si="1"/>
        <v>80.203231238573835</v>
      </c>
      <c r="AL14" s="143">
        <f t="shared" si="1"/>
        <v>70.507657691710691</v>
      </c>
      <c r="AM14" s="143">
        <f t="shared" si="1"/>
        <v>61.78393002522693</v>
      </c>
      <c r="AN14" s="143">
        <f t="shared" si="1"/>
        <v>55.663563984063622</v>
      </c>
      <c r="AO14" s="143">
        <f t="shared" si="1"/>
        <v>51.99173928172717</v>
      </c>
      <c r="AP14" s="143">
        <f t="shared" si="1"/>
        <v>50.085914144370541</v>
      </c>
      <c r="AQ14" s="140">
        <f t="shared" si="16"/>
        <v>4.7845935248384137</v>
      </c>
      <c r="AT14">
        <f t="shared" si="17"/>
        <v>6.5702659138025868E-4</v>
      </c>
      <c r="AU14">
        <f t="shared" si="18"/>
        <v>8.9205298111167432E-3</v>
      </c>
      <c r="AV14">
        <f t="shared" si="19"/>
        <v>2.0429833677926602E-2</v>
      </c>
      <c r="AW14">
        <f t="shared" si="20"/>
        <v>3.9825065305632019E-2</v>
      </c>
      <c r="AX14">
        <f t="shared" si="21"/>
        <v>4.6901589559431613E-2</v>
      </c>
      <c r="AY14">
        <f t="shared" si="22"/>
        <v>5.7258220461148757E-2</v>
      </c>
      <c r="AZ14">
        <f t="shared" si="23"/>
        <v>6.7693827897586642E-2</v>
      </c>
      <c r="BA14">
        <f t="shared" si="24"/>
        <v>8.1004391876116535E-2</v>
      </c>
      <c r="BB14">
        <f t="shared" si="25"/>
        <v>8.1742506504288714E-2</v>
      </c>
      <c r="BC14">
        <f t="shared" si="26"/>
        <v>7.402636079921357E-2</v>
      </c>
    </row>
    <row r="15" spans="1:55" x14ac:dyDescent="0.35">
      <c r="A15" s="73" t="s">
        <v>48</v>
      </c>
      <c r="B15" s="73">
        <v>2</v>
      </c>
      <c r="C15" s="72" t="s">
        <v>91</v>
      </c>
      <c r="D15" s="73">
        <v>11</v>
      </c>
      <c r="E15" s="75">
        <v>6.1269999999999998</v>
      </c>
      <c r="F15" s="75">
        <v>35.49</v>
      </c>
      <c r="G15" s="76">
        <v>100</v>
      </c>
      <c r="H15" s="73">
        <v>97.86</v>
      </c>
      <c r="I15" s="73">
        <v>97.2</v>
      </c>
      <c r="J15" s="73">
        <v>96.4</v>
      </c>
      <c r="K15" s="73">
        <v>95.3</v>
      </c>
      <c r="L15" s="73">
        <v>92</v>
      </c>
      <c r="M15" s="73">
        <v>85.91</v>
      </c>
      <c r="N15" s="73">
        <v>78.099999999999994</v>
      </c>
      <c r="O15" s="73">
        <v>73.599999999999994</v>
      </c>
      <c r="P15" s="73">
        <v>71.06</v>
      </c>
      <c r="Q15" s="49"/>
      <c r="R15" s="21">
        <f t="shared" si="3"/>
        <v>0</v>
      </c>
      <c r="S15" s="21">
        <f t="shared" si="4"/>
        <v>7.985074626865675E-2</v>
      </c>
      <c r="T15" s="21">
        <f t="shared" si="5"/>
        <v>0.10711553175210395</v>
      </c>
      <c r="U15" s="21">
        <f t="shared" si="6"/>
        <v>0.14206787687450648</v>
      </c>
      <c r="V15" s="21">
        <f t="shared" si="7"/>
        <v>0.19389438943894405</v>
      </c>
      <c r="W15" s="21">
        <f t="shared" si="8"/>
        <v>0.38204393505253109</v>
      </c>
      <c r="X15" s="21">
        <f t="shared" si="9"/>
        <v>0.94882154882154945</v>
      </c>
      <c r="Y15" s="21">
        <f t="shared" si="10"/>
        <v>3.110795454545459</v>
      </c>
      <c r="Z15" s="21">
        <f t="shared" si="11"/>
        <v>10.39370078740161</v>
      </c>
      <c r="AA15" s="23">
        <f t="shared" si="12"/>
        <v>0.72896073354120738</v>
      </c>
      <c r="AB15" s="23" cm="1">
        <f t="array" ref="AB15">EXP(INDEX(LINEST(LN($H$2:$O$2),LN(S15:Z15)),1,2))</f>
        <v>0.18064443487013146</v>
      </c>
      <c r="AC15" s="145">
        <v>0.71</v>
      </c>
      <c r="AD15" s="145">
        <f t="shared" si="13"/>
        <v>0.24183015206429795</v>
      </c>
      <c r="AE15" s="145">
        <f t="shared" si="14"/>
        <v>70.52435610301481</v>
      </c>
      <c r="AG15" s="143">
        <f t="shared" si="15"/>
        <v>99.987051617886976</v>
      </c>
      <c r="AH15" s="143">
        <f t="shared" si="1"/>
        <v>99.370530216115824</v>
      </c>
      <c r="AI15" s="143">
        <f t="shared" si="1"/>
        <v>98.7145748944844</v>
      </c>
      <c r="AJ15" s="143">
        <f t="shared" si="1"/>
        <v>97.33153479391386</v>
      </c>
      <c r="AK15" s="143">
        <f t="shared" si="1"/>
        <v>94.798841088306219</v>
      </c>
      <c r="AL15" s="143">
        <f t="shared" si="1"/>
        <v>90.734876239640101</v>
      </c>
      <c r="AM15" s="143">
        <f t="shared" si="1"/>
        <v>85.427867313759307</v>
      </c>
      <c r="AN15" s="143">
        <f t="shared" si="1"/>
        <v>80.111342487033241</v>
      </c>
      <c r="AO15" s="143">
        <f t="shared" si="1"/>
        <v>75.9148239250149</v>
      </c>
      <c r="AP15" s="143">
        <f t="shared" si="1"/>
        <v>73.319335539902582</v>
      </c>
      <c r="AQ15" s="140">
        <f t="shared" si="16"/>
        <v>1.5443213678306489</v>
      </c>
      <c r="AT15">
        <f t="shared" si="17"/>
        <v>1.2948382113023627E-4</v>
      </c>
      <c r="AU15">
        <f t="shared" si="18"/>
        <v>1.543562452601497E-2</v>
      </c>
      <c r="AV15">
        <f t="shared" si="19"/>
        <v>1.5582046239551412E-2</v>
      </c>
      <c r="AW15">
        <f t="shared" si="20"/>
        <v>9.6632240032557548E-3</v>
      </c>
      <c r="AX15">
        <f t="shared" si="21"/>
        <v>5.2587503850344015E-3</v>
      </c>
      <c r="AY15">
        <f t="shared" si="22"/>
        <v>1.3751345221303246E-2</v>
      </c>
      <c r="AZ15">
        <f t="shared" si="23"/>
        <v>5.6120671195517306E-3</v>
      </c>
      <c r="BA15">
        <f t="shared" si="24"/>
        <v>2.5753424930003158E-2</v>
      </c>
      <c r="BB15">
        <f t="shared" si="25"/>
        <v>3.1451412024659051E-2</v>
      </c>
      <c r="BC15">
        <f t="shared" si="26"/>
        <v>3.1794758512560931E-2</v>
      </c>
    </row>
    <row r="16" spans="1:55" x14ac:dyDescent="0.35">
      <c r="A16" s="73" t="s">
        <v>48</v>
      </c>
      <c r="B16" s="73">
        <v>2</v>
      </c>
      <c r="C16" s="72" t="s">
        <v>91</v>
      </c>
      <c r="D16" s="73">
        <v>12</v>
      </c>
      <c r="E16" s="75">
        <v>8.2235999999999994</v>
      </c>
      <c r="F16" s="75">
        <v>36.99</v>
      </c>
      <c r="G16" s="76">
        <v>100</v>
      </c>
      <c r="H16" s="73">
        <v>97.01</v>
      </c>
      <c r="I16" s="73">
        <v>96.1</v>
      </c>
      <c r="J16" s="73">
        <v>94.9</v>
      </c>
      <c r="K16" s="73">
        <v>93.39</v>
      </c>
      <c r="L16" s="73">
        <v>90.39</v>
      </c>
      <c r="M16" s="73">
        <v>81.81</v>
      </c>
      <c r="N16" s="73">
        <v>73.06</v>
      </c>
      <c r="O16" s="73">
        <v>65.739999999999995</v>
      </c>
      <c r="P16" s="73">
        <v>61.89</v>
      </c>
      <c r="Q16" s="49"/>
      <c r="R16" s="21">
        <f t="shared" si="3"/>
        <v>0</v>
      </c>
      <c r="S16" s="21">
        <f t="shared" si="4"/>
        <v>8.5136674259680939E-2</v>
      </c>
      <c r="T16" s="21">
        <f t="shared" si="5"/>
        <v>0.1140017538731367</v>
      </c>
      <c r="U16" s="21">
        <f t="shared" si="6"/>
        <v>0.15449863677673412</v>
      </c>
      <c r="V16" s="21">
        <f t="shared" si="7"/>
        <v>0.20984126984126983</v>
      </c>
      <c r="W16" s="21">
        <f t="shared" si="8"/>
        <v>0.33719298245614032</v>
      </c>
      <c r="X16" s="21">
        <f t="shared" si="9"/>
        <v>0.91315261044176688</v>
      </c>
      <c r="Y16" s="21">
        <f t="shared" si="10"/>
        <v>2.4118173679498653</v>
      </c>
      <c r="Z16" s="21">
        <f t="shared" si="11"/>
        <v>8.8987012987013134</v>
      </c>
      <c r="AA16" s="23">
        <f t="shared" si="12"/>
        <v>0.77510683372057643</v>
      </c>
      <c r="AB16" s="23" cm="1">
        <f t="array" ref="AB16">EXP(INDEX(LINEST(LN($H$2:$O$2),LN(S16:Z16)),1,2))</f>
        <v>0.19209718677282225</v>
      </c>
      <c r="AC16" s="145">
        <v>0.71</v>
      </c>
      <c r="AD16" s="145">
        <f t="shared" si="13"/>
        <v>0.22054876815655389</v>
      </c>
      <c r="AE16" s="145">
        <f t="shared" si="14"/>
        <v>67.808529535598552</v>
      </c>
      <c r="AG16" s="143">
        <f t="shared" si="15"/>
        <v>99.98390048448158</v>
      </c>
      <c r="AH16" s="143">
        <f t="shared" si="1"/>
        <v>99.219602878430322</v>
      </c>
      <c r="AI16" s="143">
        <f t="shared" si="1"/>
        <v>98.411253415631123</v>
      </c>
      <c r="AJ16" s="143">
        <f t="shared" si="1"/>
        <v>96.723030825582782</v>
      </c>
      <c r="AK16" s="143">
        <f t="shared" si="1"/>
        <v>93.687010190389344</v>
      </c>
      <c r="AL16" s="143">
        <f t="shared" si="1"/>
        <v>88.960142959652217</v>
      </c>
      <c r="AM16" s="143">
        <f t="shared" si="1"/>
        <v>83.041908402019047</v>
      </c>
      <c r="AN16" s="143">
        <f t="shared" si="1"/>
        <v>77.383784706315097</v>
      </c>
      <c r="AO16" s="143">
        <f t="shared" si="1"/>
        <v>73.097010643959564</v>
      </c>
      <c r="AP16" s="143">
        <f t="shared" si="1"/>
        <v>70.520905575320086</v>
      </c>
      <c r="AQ16" s="140">
        <f t="shared" si="16"/>
        <v>4.1080339848171263</v>
      </c>
      <c r="AT16">
        <f t="shared" si="17"/>
        <v>1.6099515518419594E-4</v>
      </c>
      <c r="AU16">
        <f t="shared" si="18"/>
        <v>2.2777062967016978E-2</v>
      </c>
      <c r="AV16">
        <f t="shared" si="19"/>
        <v>2.4050503804694364E-2</v>
      </c>
      <c r="AW16">
        <f t="shared" si="20"/>
        <v>1.9210019236910184E-2</v>
      </c>
      <c r="AX16">
        <f t="shared" si="21"/>
        <v>3.1803211306279432E-3</v>
      </c>
      <c r="AY16">
        <f t="shared" si="22"/>
        <v>1.5818752520718928E-2</v>
      </c>
      <c r="AZ16">
        <f t="shared" si="23"/>
        <v>1.5058164063305762E-2</v>
      </c>
      <c r="BA16">
        <f t="shared" si="24"/>
        <v>5.9181285331441215E-2</v>
      </c>
      <c r="BB16">
        <f t="shared" si="25"/>
        <v>0.11191071864860921</v>
      </c>
      <c r="BC16">
        <f t="shared" si="26"/>
        <v>0.13945557562320382</v>
      </c>
    </row>
    <row r="17" spans="1:55" x14ac:dyDescent="0.35">
      <c r="A17" s="73" t="s">
        <v>48</v>
      </c>
      <c r="B17" s="73">
        <v>2</v>
      </c>
      <c r="C17" s="72" t="s">
        <v>91</v>
      </c>
      <c r="D17" s="73">
        <v>13</v>
      </c>
      <c r="E17" s="75">
        <v>9.8209999999999997</v>
      </c>
      <c r="F17" s="75">
        <v>37.979999999999997</v>
      </c>
      <c r="G17" s="76">
        <v>100</v>
      </c>
      <c r="H17" s="73">
        <v>99.05</v>
      </c>
      <c r="I17" s="73">
        <v>98.1</v>
      </c>
      <c r="J17" s="73">
        <v>97.3</v>
      </c>
      <c r="K17" s="73">
        <v>94.92</v>
      </c>
      <c r="L17" s="73">
        <v>90.64</v>
      </c>
      <c r="M17" s="73">
        <v>82.19</v>
      </c>
      <c r="N17" s="73">
        <v>75.94</v>
      </c>
      <c r="O17" s="73">
        <v>71.66</v>
      </c>
      <c r="P17" s="73">
        <v>68.81</v>
      </c>
      <c r="Q17" s="49"/>
      <c r="R17" s="21">
        <f t="shared" si="3"/>
        <v>0</v>
      </c>
      <c r="S17" s="21">
        <f t="shared" si="4"/>
        <v>3.1415343915344014E-2</v>
      </c>
      <c r="T17" s="21">
        <f t="shared" si="5"/>
        <v>6.4868555821099558E-2</v>
      </c>
      <c r="U17" s="21">
        <f t="shared" si="6"/>
        <v>9.477009477009489E-2</v>
      </c>
      <c r="V17" s="21">
        <f t="shared" si="7"/>
        <v>0.19456147070088084</v>
      </c>
      <c r="W17" s="21">
        <f t="shared" si="8"/>
        <v>0.42876775080164914</v>
      </c>
      <c r="X17" s="21">
        <f t="shared" si="9"/>
        <v>1.3310911808669663</v>
      </c>
      <c r="Y17" s="21">
        <f t="shared" si="10"/>
        <v>3.374474053295935</v>
      </c>
      <c r="Z17" s="21">
        <f t="shared" si="11"/>
        <v>9.9438596491228282</v>
      </c>
      <c r="AA17" s="23">
        <f t="shared" si="12"/>
        <v>0.64760942697521595</v>
      </c>
      <c r="AB17" s="23" cm="1">
        <f t="array" ref="AB17">EXP(INDEX(LINEST(LN($H$2:$O$2),LN(S17:Z17)),1,2))</f>
        <v>0.1897064747586597</v>
      </c>
      <c r="AC17" s="145">
        <v>0.71</v>
      </c>
      <c r="AD17" s="145">
        <f t="shared" si="13"/>
        <v>0.2086288181947149</v>
      </c>
      <c r="AE17" s="145">
        <f t="shared" si="14"/>
        <v>66.170422215779212</v>
      </c>
      <c r="AG17" s="143">
        <f t="shared" si="15"/>
        <v>99.981704794920176</v>
      </c>
      <c r="AH17" s="143">
        <f t="shared" si="1"/>
        <v>99.114881023611773</v>
      </c>
      <c r="AI17" s="143">
        <f t="shared" si="1"/>
        <v>98.201727217468758</v>
      </c>
      <c r="AJ17" s="143">
        <f t="shared" si="1"/>
        <v>96.306563130652449</v>
      </c>
      <c r="AK17" s="143">
        <f t="shared" si="1"/>
        <v>92.938462332956846</v>
      </c>
      <c r="AL17" s="143">
        <f t="shared" si="1"/>
        <v>87.79470908441256</v>
      </c>
      <c r="AM17" s="143">
        <f t="shared" si="1"/>
        <v>81.52074153926003</v>
      </c>
      <c r="AN17" s="143">
        <f t="shared" si="1"/>
        <v>75.688603004745033</v>
      </c>
      <c r="AO17" s="143">
        <f t="shared" si="1"/>
        <v>71.374026779629901</v>
      </c>
      <c r="AP17" s="143">
        <f t="shared" si="1"/>
        <v>68.823087608158104</v>
      </c>
      <c r="AQ17" s="140">
        <f t="shared" si="16"/>
        <v>0.79986172467126693</v>
      </c>
      <c r="AT17">
        <f t="shared" si="17"/>
        <v>1.8295205079823517E-4</v>
      </c>
      <c r="AU17">
        <f t="shared" si="18"/>
        <v>6.550330500936435E-4</v>
      </c>
      <c r="AV17">
        <f t="shared" si="19"/>
        <v>1.036974693871186E-3</v>
      </c>
      <c r="AW17">
        <f t="shared" si="20"/>
        <v>1.0210039767189597E-2</v>
      </c>
      <c r="AX17">
        <f t="shared" si="21"/>
        <v>2.0875870912801898E-2</v>
      </c>
      <c r="AY17">
        <f t="shared" si="22"/>
        <v>3.1391117780090919E-2</v>
      </c>
      <c r="AZ17">
        <f t="shared" si="23"/>
        <v>8.1428210334586696E-3</v>
      </c>
      <c r="BA17">
        <f t="shared" si="24"/>
        <v>3.3104687286669003E-3</v>
      </c>
      <c r="BB17">
        <f t="shared" si="25"/>
        <v>3.9906952326276271E-3</v>
      </c>
      <c r="BC17">
        <f t="shared" si="26"/>
        <v>1.9019921752800714E-4</v>
      </c>
    </row>
    <row r="18" spans="1:55" x14ac:dyDescent="0.35">
      <c r="A18" s="73" t="s">
        <v>48</v>
      </c>
      <c r="B18" s="73">
        <v>2</v>
      </c>
      <c r="C18" s="72" t="s">
        <v>91</v>
      </c>
      <c r="D18" s="73">
        <v>14</v>
      </c>
      <c r="E18" s="75">
        <v>5.2279999999999998</v>
      </c>
      <c r="F18" s="75">
        <v>36.200000000000003</v>
      </c>
      <c r="G18" s="76">
        <v>100</v>
      </c>
      <c r="H18" s="73">
        <v>99.01</v>
      </c>
      <c r="I18" s="73">
        <v>98.5</v>
      </c>
      <c r="J18" s="73">
        <v>97.9</v>
      </c>
      <c r="K18" s="73">
        <v>96.58</v>
      </c>
      <c r="L18" s="73">
        <v>93.46</v>
      </c>
      <c r="M18" s="73">
        <v>86.74</v>
      </c>
      <c r="N18" s="78">
        <v>80.2</v>
      </c>
      <c r="O18" s="73">
        <v>75.650000000000006</v>
      </c>
      <c r="P18" s="73">
        <v>72.61</v>
      </c>
      <c r="Q18" s="49"/>
      <c r="R18" s="21">
        <f t="shared" si="3"/>
        <v>0</v>
      </c>
      <c r="S18" s="21">
        <f t="shared" si="4"/>
        <v>3.7499999999999797E-2</v>
      </c>
      <c r="T18" s="21">
        <f t="shared" si="5"/>
        <v>5.7937427578215524E-2</v>
      </c>
      <c r="U18" s="21">
        <f t="shared" si="6"/>
        <v>8.3036773428232263E-2</v>
      </c>
      <c r="V18" s="21">
        <f t="shared" si="7"/>
        <v>0.14267834793491874</v>
      </c>
      <c r="W18" s="21">
        <f t="shared" si="8"/>
        <v>0.31366906474820183</v>
      </c>
      <c r="X18" s="21">
        <f t="shared" si="9"/>
        <v>0.9384288747346079</v>
      </c>
      <c r="Y18" s="21">
        <f t="shared" si="10"/>
        <v>2.6086956521739113</v>
      </c>
      <c r="Z18" s="21">
        <f t="shared" si="11"/>
        <v>8.0098684210526141</v>
      </c>
      <c r="AA18" s="23">
        <f t="shared" si="12"/>
        <v>0.67436738656801465</v>
      </c>
      <c r="AB18" s="23" cm="1">
        <f t="array" ref="AB18">EXP(INDEX(LINEST(LN($H$2:$O$2),LN(S18:Z18)),1,2))</f>
        <v>0.22081243094257197</v>
      </c>
      <c r="AC18" s="145">
        <v>0.71</v>
      </c>
      <c r="AD18" s="145">
        <f t="shared" si="13"/>
        <v>0.25414408090661528</v>
      </c>
      <c r="AE18" s="145">
        <f t="shared" si="14"/>
        <v>71.988622272708483</v>
      </c>
      <c r="AG18" s="143">
        <f t="shared" si="15"/>
        <v>99.988525866004665</v>
      </c>
      <c r="AH18" s="143">
        <f t="shared" si="1"/>
        <v>99.441409603934815</v>
      </c>
      <c r="AI18" s="143">
        <f t="shared" si="1"/>
        <v>98.857595882675099</v>
      </c>
      <c r="AJ18" s="143">
        <f t="shared" si="1"/>
        <v>97.620873482864894</v>
      </c>
      <c r="AK18" s="143">
        <f t="shared" si="1"/>
        <v>95.335552265301331</v>
      </c>
      <c r="AL18" s="143">
        <f t="shared" si="1"/>
        <v>91.611872438782299</v>
      </c>
      <c r="AM18" s="143">
        <f t="shared" si="1"/>
        <v>86.641176572183696</v>
      </c>
      <c r="AN18" s="143">
        <f t="shared" si="1"/>
        <v>81.534521652125065</v>
      </c>
      <c r="AO18" s="143">
        <f t="shared" si="1"/>
        <v>77.410632692756849</v>
      </c>
      <c r="AP18" s="143">
        <f t="shared" si="1"/>
        <v>74.817771084998469</v>
      </c>
      <c r="AQ18" s="140">
        <f t="shared" si="16"/>
        <v>1.1507171626848933</v>
      </c>
      <c r="AT18">
        <f t="shared" si="17"/>
        <v>1.1474133995335478E-4</v>
      </c>
      <c r="AU18">
        <f t="shared" si="18"/>
        <v>4.3572326425089392E-3</v>
      </c>
      <c r="AV18">
        <f t="shared" si="19"/>
        <v>3.6304150525390774E-3</v>
      </c>
      <c r="AW18">
        <f t="shared" si="20"/>
        <v>2.8511390922891866E-3</v>
      </c>
      <c r="AX18">
        <f t="shared" si="21"/>
        <v>1.2885149458466218E-2</v>
      </c>
      <c r="AY18">
        <f t="shared" si="22"/>
        <v>1.9774529865372294E-2</v>
      </c>
      <c r="AZ18">
        <f t="shared" si="23"/>
        <v>1.1393062925559045E-3</v>
      </c>
      <c r="BA18">
        <f t="shared" si="24"/>
        <v>1.6639920849439674E-2</v>
      </c>
      <c r="BB18">
        <f t="shared" si="25"/>
        <v>2.3273399772066664E-2</v>
      </c>
      <c r="BC18">
        <f t="shared" si="26"/>
        <v>3.0405881903298026E-2</v>
      </c>
    </row>
    <row r="19" spans="1:55" x14ac:dyDescent="0.35">
      <c r="A19" s="73" t="s">
        <v>48</v>
      </c>
      <c r="B19" s="73">
        <v>2</v>
      </c>
      <c r="C19" s="72" t="s">
        <v>91</v>
      </c>
      <c r="D19" s="73">
        <v>15</v>
      </c>
      <c r="E19" s="75">
        <v>11.9</v>
      </c>
      <c r="F19" s="75">
        <v>34.89</v>
      </c>
      <c r="G19" s="76">
        <v>100</v>
      </c>
      <c r="H19" s="73">
        <v>96.09</v>
      </c>
      <c r="I19" s="73">
        <v>95.09</v>
      </c>
      <c r="J19" s="73">
        <v>93.38</v>
      </c>
      <c r="K19" s="73">
        <v>90.92</v>
      </c>
      <c r="L19" s="73">
        <v>86.86</v>
      </c>
      <c r="M19" s="73">
        <v>77.900000000000006</v>
      </c>
      <c r="N19" s="78">
        <v>71.23</v>
      </c>
      <c r="O19" s="73">
        <v>66.819999999999993</v>
      </c>
      <c r="P19" s="73">
        <v>64.56</v>
      </c>
      <c r="Q19" s="49"/>
      <c r="R19" s="21">
        <f t="shared" si="3"/>
        <v>0</v>
      </c>
      <c r="S19" s="21">
        <f t="shared" si="4"/>
        <v>0.12400888043133512</v>
      </c>
      <c r="T19" s="21">
        <f t="shared" si="5"/>
        <v>0.16082541762201102</v>
      </c>
      <c r="U19" s="21">
        <f t="shared" si="6"/>
        <v>0.22970159611381005</v>
      </c>
      <c r="V19" s="21">
        <f t="shared" si="7"/>
        <v>0.3444613050075872</v>
      </c>
      <c r="W19" s="21">
        <f t="shared" si="8"/>
        <v>0.58923766816143508</v>
      </c>
      <c r="X19" s="21">
        <f t="shared" si="9"/>
        <v>1.6566716641679151</v>
      </c>
      <c r="Y19" s="21">
        <f t="shared" si="10"/>
        <v>4.3133433283358302</v>
      </c>
      <c r="Z19" s="21">
        <f t="shared" si="11"/>
        <v>14.681415929203602</v>
      </c>
      <c r="AA19" s="23">
        <f t="shared" si="12"/>
        <v>0.75313727169704481</v>
      </c>
      <c r="AB19" s="23" cm="1">
        <f t="array" ref="AB19">EXP(INDEX(LINEST(LN($H$2:$O$2),LN(S19:Z19)),1,2))</f>
        <v>0.13146714706744828</v>
      </c>
      <c r="AC19" s="145">
        <v>0.71</v>
      </c>
      <c r="AD19" s="145">
        <f t="shared" si="13"/>
        <v>0.19645941051248522</v>
      </c>
      <c r="AE19" s="145">
        <f t="shared" si="14"/>
        <v>64.398503643715856</v>
      </c>
      <c r="AG19" s="143">
        <f t="shared" si="15"/>
        <v>99.979046777169685</v>
      </c>
      <c r="AH19" s="143">
        <f t="shared" si="1"/>
        <v>98.98857574749141</v>
      </c>
      <c r="AI19" s="143">
        <f t="shared" si="1"/>
        <v>97.949992914197253</v>
      </c>
      <c r="AJ19" s="143">
        <f t="shared" si="1"/>
        <v>95.810167976831877</v>
      </c>
      <c r="AK19" s="143">
        <f t="shared" si="1"/>
        <v>92.058572377309588</v>
      </c>
      <c r="AL19" s="143">
        <f t="shared" si="1"/>
        <v>86.452556006086212</v>
      </c>
      <c r="AM19" s="143">
        <f t="shared" si="1"/>
        <v>79.809230515268396</v>
      </c>
      <c r="AN19" s="143">
        <f t="shared" si="1"/>
        <v>73.817306941439838</v>
      </c>
      <c r="AO19" s="143">
        <f t="shared" si="1"/>
        <v>69.493800683495934</v>
      </c>
      <c r="AP19" s="143">
        <f t="shared" si="1"/>
        <v>66.979957548213733</v>
      </c>
      <c r="AQ19" s="140">
        <f t="shared" si="16"/>
        <v>2.4202039292702593</v>
      </c>
      <c r="AT19">
        <f t="shared" si="17"/>
        <v>2.0953222830314645E-4</v>
      </c>
      <c r="AU19">
        <f t="shared" si="18"/>
        <v>3.0165217478316231E-2</v>
      </c>
      <c r="AV19">
        <f t="shared" si="19"/>
        <v>3.0076694859577764E-2</v>
      </c>
      <c r="AW19">
        <f t="shared" si="20"/>
        <v>2.6024501786591155E-2</v>
      </c>
      <c r="AX19">
        <f t="shared" si="21"/>
        <v>1.2522793415195623E-2</v>
      </c>
      <c r="AY19">
        <f t="shared" si="22"/>
        <v>4.690812732141233E-3</v>
      </c>
      <c r="AZ19">
        <f t="shared" si="23"/>
        <v>2.4508735754408092E-2</v>
      </c>
      <c r="BA19">
        <f t="shared" si="24"/>
        <v>3.6323275887123883E-2</v>
      </c>
      <c r="BB19">
        <f t="shared" si="25"/>
        <v>4.0014975808080527E-2</v>
      </c>
      <c r="BC19">
        <f t="shared" si="26"/>
        <v>3.7483852977288269E-2</v>
      </c>
    </row>
    <row r="20" spans="1:55" x14ac:dyDescent="0.35">
      <c r="A20" s="73" t="s">
        <v>48</v>
      </c>
      <c r="B20" s="73">
        <v>2</v>
      </c>
      <c r="C20" s="72" t="s">
        <v>91</v>
      </c>
      <c r="D20" s="73">
        <v>16</v>
      </c>
      <c r="E20" s="75">
        <v>9.3070000000000004</v>
      </c>
      <c r="F20" s="75">
        <v>36.85</v>
      </c>
      <c r="G20" s="76">
        <v>100</v>
      </c>
      <c r="H20" s="73">
        <v>97.5</v>
      </c>
      <c r="I20" s="73">
        <v>96.8</v>
      </c>
      <c r="J20" s="73">
        <v>95.9</v>
      </c>
      <c r="K20" s="73">
        <v>94.69</v>
      </c>
      <c r="L20" s="73">
        <v>92.14</v>
      </c>
      <c r="M20" s="73">
        <v>85.17</v>
      </c>
      <c r="N20" s="78">
        <v>75.760000000000005</v>
      </c>
      <c r="O20" s="73">
        <v>68.66</v>
      </c>
      <c r="P20" s="73">
        <v>64.8</v>
      </c>
      <c r="Q20" s="49"/>
      <c r="R20" s="21">
        <f t="shared" si="3"/>
        <v>0</v>
      </c>
      <c r="S20" s="21">
        <f t="shared" si="4"/>
        <v>7.64525993883792E-2</v>
      </c>
      <c r="T20" s="21">
        <f t="shared" si="5"/>
        <v>0.10000000000000009</v>
      </c>
      <c r="U20" s="21">
        <f t="shared" si="6"/>
        <v>0.13183279742765253</v>
      </c>
      <c r="V20" s="21">
        <f t="shared" si="7"/>
        <v>0.17765138842422223</v>
      </c>
      <c r="W20" s="21">
        <f t="shared" si="8"/>
        <v>0.28749085588880757</v>
      </c>
      <c r="X20" s="21">
        <f t="shared" si="9"/>
        <v>0.72803141875306798</v>
      </c>
      <c r="Y20" s="21">
        <f t="shared" si="10"/>
        <v>2.2116788321167862</v>
      </c>
      <c r="Z20" s="21">
        <f t="shared" si="11"/>
        <v>8.1191709844559607</v>
      </c>
      <c r="AA20" s="23">
        <f t="shared" si="12"/>
        <v>0.7639745128357941</v>
      </c>
      <c r="AB20" s="23" cm="1">
        <f t="array" ref="AB20">EXP(INDEX(LINEST(LN($H$2:$O$2),LN(S20:Z20)),1,2))</f>
        <v>0.21211771619345091</v>
      </c>
      <c r="AC20" s="145">
        <v>0.71</v>
      </c>
      <c r="AD20" s="145">
        <f t="shared" si="13"/>
        <v>0.2121688366279757</v>
      </c>
      <c r="AE20" s="145">
        <f t="shared" si="14"/>
        <v>66.666483921581417</v>
      </c>
      <c r="AG20" s="143">
        <f t="shared" si="15"/>
        <v>99.982395026991355</v>
      </c>
      <c r="AH20" s="143">
        <f t="shared" si="1"/>
        <v>99.147762915449448</v>
      </c>
      <c r="AI20" s="143">
        <f t="shared" si="1"/>
        <v>98.267436560888811</v>
      </c>
      <c r="AJ20" s="143">
        <f t="shared" si="1"/>
        <v>96.436841616725815</v>
      </c>
      <c r="AK20" s="143">
        <f t="shared" si="1"/>
        <v>93.171581313518047</v>
      </c>
      <c r="AL20" s="143">
        <f t="shared" si="1"/>
        <v>88.155250825607894</v>
      </c>
      <c r="AM20" s="143">
        <f t="shared" si="1"/>
        <v>81.987714799283026</v>
      </c>
      <c r="AN20" s="143">
        <f t="shared" si="1"/>
        <v>76.205641181797972</v>
      </c>
      <c r="AO20" s="143">
        <f t="shared" si="1"/>
        <v>71.89744815642716</v>
      </c>
      <c r="AP20" s="143">
        <f t="shared" si="1"/>
        <v>69.337909600793154</v>
      </c>
      <c r="AQ20" s="140">
        <f t="shared" si="16"/>
        <v>2.5754349176154823</v>
      </c>
      <c r="AT20">
        <f t="shared" si="17"/>
        <v>1.760497300864472E-4</v>
      </c>
      <c r="AU20">
        <f t="shared" si="18"/>
        <v>1.6900132466148184E-2</v>
      </c>
      <c r="AV20">
        <f t="shared" si="19"/>
        <v>1.5159468604223283E-2</v>
      </c>
      <c r="AW20">
        <f t="shared" si="20"/>
        <v>5.5979313527195927E-3</v>
      </c>
      <c r="AX20">
        <f t="shared" si="21"/>
        <v>1.6035681555411879E-2</v>
      </c>
      <c r="AY20">
        <f t="shared" si="22"/>
        <v>4.3246680859475875E-2</v>
      </c>
      <c r="AZ20">
        <f t="shared" si="23"/>
        <v>3.7363921577045621E-2</v>
      </c>
      <c r="BA20">
        <f t="shared" si="24"/>
        <v>5.882275366921424E-3</v>
      </c>
      <c r="BB20">
        <f t="shared" si="25"/>
        <v>4.7151881101473399E-2</v>
      </c>
      <c r="BC20">
        <f t="shared" si="26"/>
        <v>7.0029469148042547E-2</v>
      </c>
    </row>
    <row r="21" spans="1:55" x14ac:dyDescent="0.35">
      <c r="A21" s="73" t="s">
        <v>48</v>
      </c>
      <c r="B21" s="73">
        <v>2</v>
      </c>
      <c r="C21" s="72" t="s">
        <v>91</v>
      </c>
      <c r="D21" s="73">
        <v>17</v>
      </c>
      <c r="E21" s="74">
        <v>193.91</v>
      </c>
      <c r="F21" s="75">
        <v>38.35</v>
      </c>
      <c r="G21" s="76">
        <v>100</v>
      </c>
      <c r="H21" s="73">
        <v>94.52</v>
      </c>
      <c r="I21" s="73">
        <v>90.52</v>
      </c>
      <c r="J21" s="73">
        <v>79.14</v>
      </c>
      <c r="K21" s="73">
        <v>68</v>
      </c>
      <c r="L21" s="73">
        <v>59.58</v>
      </c>
      <c r="M21" s="73">
        <v>52.47</v>
      </c>
      <c r="N21" s="78">
        <v>47.57</v>
      </c>
      <c r="O21" s="73">
        <v>43.97</v>
      </c>
      <c r="P21" s="73">
        <v>41.41</v>
      </c>
      <c r="Q21" s="49"/>
      <c r="R21" s="21">
        <f t="shared" si="3"/>
        <v>0</v>
      </c>
      <c r="S21" s="21">
        <f t="shared" si="4"/>
        <v>0.10318207493880632</v>
      </c>
      <c r="T21" s="21">
        <f t="shared" si="5"/>
        <v>0.19303604153940143</v>
      </c>
      <c r="U21" s="21">
        <f t="shared" si="6"/>
        <v>0.55287569573283857</v>
      </c>
      <c r="V21" s="21">
        <f t="shared" si="7"/>
        <v>1.2034599473486272</v>
      </c>
      <c r="W21" s="21">
        <f t="shared" si="8"/>
        <v>2.2245459548706656</v>
      </c>
      <c r="X21" s="21">
        <f t="shared" si="9"/>
        <v>4.2974683544303787</v>
      </c>
      <c r="Y21" s="21">
        <f t="shared" si="10"/>
        <v>8.5113636363636314</v>
      </c>
      <c r="Z21" s="21">
        <f t="shared" si="11"/>
        <v>21.886718749999982</v>
      </c>
      <c r="AA21" s="23">
        <f t="shared" si="12"/>
        <v>0.71563689257722207</v>
      </c>
      <c r="AB21" s="23" cm="1">
        <f t="array" ref="AB21">EXP(INDEX(LINEST(LN($H$2:$O$2),LN(S21:Z21)),1,2))</f>
        <v>7.9587503058112866E-2</v>
      </c>
      <c r="AC21" s="145">
        <v>0.71</v>
      </c>
      <c r="AD21" s="145">
        <f t="shared" si="13"/>
        <v>8.2016299591961717E-2</v>
      </c>
      <c r="AE21" s="145">
        <f t="shared" si="14"/>
        <v>38.644486932421302</v>
      </c>
      <c r="AG21" s="143">
        <f t="shared" si="15"/>
        <v>99.876591480320684</v>
      </c>
      <c r="AH21" s="143">
        <f t="shared" si="15"/>
        <v>94.418610295558693</v>
      </c>
      <c r="AI21" s="143">
        <f t="shared" si="15"/>
        <v>89.388918503160866</v>
      </c>
      <c r="AJ21" s="143">
        <f t="shared" si="15"/>
        <v>80.770021853211361</v>
      </c>
      <c r="AK21" s="143">
        <f t="shared" si="15"/>
        <v>69.591614214867391</v>
      </c>
      <c r="AL21" s="143">
        <f t="shared" si="15"/>
        <v>58.421853529821824</v>
      </c>
      <c r="AM21" s="143">
        <f t="shared" si="15"/>
        <v>49.832753802886934</v>
      </c>
      <c r="AN21" s="143">
        <f t="shared" si="15"/>
        <v>44.480293350742009</v>
      </c>
      <c r="AO21" s="143">
        <f t="shared" si="15"/>
        <v>41.499532487878859</v>
      </c>
      <c r="AP21" s="143">
        <f t="shared" si="15"/>
        <v>40.014748673187107</v>
      </c>
      <c r="AQ21" s="140">
        <f t="shared" si="16"/>
        <v>2.8333503379097356</v>
      </c>
      <c r="AT21">
        <f t="shared" si="17"/>
        <v>1.2340851967931599E-3</v>
      </c>
      <c r="AU21">
        <f t="shared" si="18"/>
        <v>1.0726799031030767E-3</v>
      </c>
      <c r="AV21">
        <f t="shared" si="19"/>
        <v>1.2495376677409742E-2</v>
      </c>
      <c r="AW21">
        <f t="shared" si="20"/>
        <v>2.0596687556373016E-2</v>
      </c>
      <c r="AX21">
        <f t="shared" si="21"/>
        <v>2.3406091395108696E-2</v>
      </c>
      <c r="AY21">
        <f t="shared" si="22"/>
        <v>1.9438510744850188E-2</v>
      </c>
      <c r="AZ21">
        <f t="shared" si="23"/>
        <v>5.0261982029980272E-2</v>
      </c>
      <c r="BA21">
        <f t="shared" si="24"/>
        <v>6.4950738895480156E-2</v>
      </c>
      <c r="BB21">
        <f t="shared" si="25"/>
        <v>5.6185297068936539E-2</v>
      </c>
      <c r="BC21">
        <f t="shared" si="26"/>
        <v>3.3693584322938654E-2</v>
      </c>
    </row>
    <row r="22" spans="1:55" x14ac:dyDescent="0.35">
      <c r="A22" s="73" t="s">
        <v>48</v>
      </c>
      <c r="B22" s="73">
        <v>2</v>
      </c>
      <c r="C22" s="72" t="s">
        <v>92</v>
      </c>
      <c r="D22" s="73">
        <v>18</v>
      </c>
      <c r="E22" s="74">
        <v>73.666700000000006</v>
      </c>
      <c r="F22" s="75">
        <v>39.5</v>
      </c>
      <c r="G22" s="76">
        <v>100</v>
      </c>
      <c r="H22" s="73">
        <v>95.47</v>
      </c>
      <c r="I22" s="73">
        <v>94.03</v>
      </c>
      <c r="J22" s="73">
        <v>92.13</v>
      </c>
      <c r="K22" s="73">
        <v>85.54</v>
      </c>
      <c r="L22" s="73">
        <v>74.92</v>
      </c>
      <c r="M22" s="73">
        <v>64.66</v>
      </c>
      <c r="N22" s="78">
        <v>56.32</v>
      </c>
      <c r="O22" s="73">
        <v>50.6</v>
      </c>
      <c r="P22" s="73">
        <v>47.6</v>
      </c>
      <c r="Q22" s="49"/>
      <c r="R22" s="21">
        <f t="shared" si="3"/>
        <v>0</v>
      </c>
      <c r="S22" s="21">
        <f t="shared" si="4"/>
        <v>9.4631293085439758E-2</v>
      </c>
      <c r="T22" s="21">
        <f t="shared" si="5"/>
        <v>0.1285806590566444</v>
      </c>
      <c r="U22" s="21">
        <f t="shared" si="6"/>
        <v>0.17673478553783978</v>
      </c>
      <c r="V22" s="21">
        <f t="shared" si="7"/>
        <v>0.38112809699525546</v>
      </c>
      <c r="W22" s="21">
        <f t="shared" si="8"/>
        <v>0.91800878477305992</v>
      </c>
      <c r="X22" s="21">
        <f t="shared" si="9"/>
        <v>2.0715123094958976</v>
      </c>
      <c r="Y22" s="21">
        <f t="shared" si="10"/>
        <v>5.0091743119266061</v>
      </c>
      <c r="Z22" s="21">
        <f t="shared" si="11"/>
        <v>16.466666666666665</v>
      </c>
      <c r="AA22" s="23">
        <f t="shared" si="12"/>
        <v>0.70136624642854761</v>
      </c>
      <c r="AB22" s="23" cm="1">
        <f t="array" ref="AB22">EXP(INDEX(LINEST(LN($H$2:$O$2),LN(S22:Z22)),1,2))</f>
        <v>0.12640532280064917</v>
      </c>
      <c r="AC22" s="145">
        <v>0.71</v>
      </c>
      <c r="AD22" s="145">
        <f t="shared" si="13"/>
        <v>0.11103583045104157</v>
      </c>
      <c r="AE22" s="145">
        <f t="shared" si="14"/>
        <v>47.575744614658824</v>
      </c>
      <c r="AG22" s="143">
        <f t="shared" si="15"/>
        <v>99.931130432247983</v>
      </c>
      <c r="AH22" s="143">
        <f t="shared" si="15"/>
        <v>96.785865390024114</v>
      </c>
      <c r="AI22" s="143">
        <f t="shared" si="15"/>
        <v>93.704336691903762</v>
      </c>
      <c r="AJ22" s="143">
        <f t="shared" si="15"/>
        <v>87.966000203639055</v>
      </c>
      <c r="AK22" s="143">
        <f t="shared" si="15"/>
        <v>79.516095438184308</v>
      </c>
      <c r="AL22" s="143">
        <f t="shared" si="15"/>
        <v>69.675779182929944</v>
      </c>
      <c r="AM22" s="143">
        <f t="shared" si="15"/>
        <v>60.926935211722487</v>
      </c>
      <c r="AN22" s="143">
        <f t="shared" si="15"/>
        <v>54.847445461942144</v>
      </c>
      <c r="AO22" s="143">
        <f t="shared" si="15"/>
        <v>51.22302016475998</v>
      </c>
      <c r="AP22" s="143">
        <f t="shared" si="15"/>
        <v>49.348509901024606</v>
      </c>
      <c r="AQ22" s="140">
        <f t="shared" si="16"/>
        <v>3.3647782755951381</v>
      </c>
      <c r="AT22">
        <f t="shared" si="17"/>
        <v>6.8869567752017247E-4</v>
      </c>
      <c r="AU22">
        <f t="shared" si="18"/>
        <v>1.3783024929549753E-2</v>
      </c>
      <c r="AV22">
        <f t="shared" si="19"/>
        <v>3.4633979378521618E-3</v>
      </c>
      <c r="AW22">
        <f t="shared" si="20"/>
        <v>4.5197002022804085E-2</v>
      </c>
      <c r="AX22">
        <f t="shared" si="21"/>
        <v>7.0422078113346942E-2</v>
      </c>
      <c r="AY22">
        <f t="shared" si="22"/>
        <v>6.9997608343166817E-2</v>
      </c>
      <c r="AZ22">
        <f t="shared" si="23"/>
        <v>5.7733757938099442E-2</v>
      </c>
      <c r="BA22">
        <f t="shared" si="24"/>
        <v>2.6146209837675013E-2</v>
      </c>
      <c r="BB22">
        <f t="shared" si="25"/>
        <v>1.2312651477469929E-2</v>
      </c>
      <c r="BC22">
        <f t="shared" si="26"/>
        <v>3.673340128202951E-2</v>
      </c>
    </row>
    <row r="23" spans="1:55" s="52" customFormat="1" x14ac:dyDescent="0.35">
      <c r="A23" s="153" t="s">
        <v>48</v>
      </c>
      <c r="B23" s="153">
        <v>2</v>
      </c>
      <c r="C23" s="154" t="s">
        <v>92</v>
      </c>
      <c r="D23" s="153">
        <v>19</v>
      </c>
      <c r="E23" s="155">
        <v>872.59400000000005</v>
      </c>
      <c r="F23" s="156">
        <v>36.5</v>
      </c>
      <c r="G23" s="157">
        <v>100</v>
      </c>
      <c r="H23" s="153">
        <v>82.83</v>
      </c>
      <c r="I23" s="153">
        <v>69.150000000000006</v>
      </c>
      <c r="J23" s="153">
        <v>56.51</v>
      </c>
      <c r="K23" s="153">
        <v>45.5</v>
      </c>
      <c r="L23" s="153">
        <v>37.36</v>
      </c>
      <c r="M23" s="153">
        <v>31.88</v>
      </c>
      <c r="N23" s="158">
        <v>28.22</v>
      </c>
      <c r="O23" s="153">
        <v>26.19</v>
      </c>
      <c r="P23" s="153">
        <v>24.76</v>
      </c>
      <c r="Q23" s="159"/>
      <c r="R23" s="23">
        <f t="shared" si="3"/>
        <v>0</v>
      </c>
      <c r="S23" s="23">
        <f t="shared" si="4"/>
        <v>0.29567763044601347</v>
      </c>
      <c r="T23" s="23">
        <f t="shared" si="5"/>
        <v>0.69497634602387914</v>
      </c>
      <c r="U23" s="23">
        <f t="shared" si="6"/>
        <v>1.3697637795275592</v>
      </c>
      <c r="V23" s="23">
        <f t="shared" si="7"/>
        <v>2.6277724204435873</v>
      </c>
      <c r="W23" s="23">
        <f t="shared" si="8"/>
        <v>4.9714285714285724</v>
      </c>
      <c r="X23" s="23">
        <f t="shared" si="9"/>
        <v>9.5674157303370819</v>
      </c>
      <c r="Y23" s="23">
        <f t="shared" si="10"/>
        <v>20.745664739884411</v>
      </c>
      <c r="Z23" s="23">
        <f t="shared" si="11"/>
        <v>51.615384615384627</v>
      </c>
      <c r="AA23" s="23">
        <f t="shared" si="12"/>
        <v>0.75986867840971661</v>
      </c>
      <c r="AB23" s="23" cm="1">
        <f t="array" ref="AB23">EXP(INDEX(LINEST(LN($H$2:$O$2),LN(S23:Z23)),1,2))</f>
        <v>3.8816378583624515E-2</v>
      </c>
      <c r="AC23" s="52">
        <v>0.71</v>
      </c>
      <c r="AD23" s="52">
        <f t="shared" si="13"/>
        <v>5.1220617499790309E-2</v>
      </c>
      <c r="AE23" s="52">
        <f t="shared" si="14"/>
        <v>24.764871290328735</v>
      </c>
      <c r="AG23" s="160">
        <f t="shared" si="15"/>
        <v>99.706872516330336</v>
      </c>
      <c r="AH23" s="160">
        <f t="shared" si="15"/>
        <v>87.764708551760137</v>
      </c>
      <c r="AI23" s="160">
        <f t="shared" si="15"/>
        <v>78.281660953983874</v>
      </c>
      <c r="AJ23" s="160">
        <f t="shared" si="15"/>
        <v>64.657756853486958</v>
      </c>
      <c r="AK23" s="160">
        <f t="shared" si="15"/>
        <v>50.646032121552196</v>
      </c>
      <c r="AL23" s="160">
        <f t="shared" si="15"/>
        <v>39.57488682964749</v>
      </c>
      <c r="AM23" s="160">
        <f t="shared" si="15"/>
        <v>32.519412567565205</v>
      </c>
      <c r="AN23" s="160">
        <f t="shared" si="15"/>
        <v>28.630339012699849</v>
      </c>
      <c r="AO23" s="160">
        <f t="shared" si="15"/>
        <v>26.61040880158961</v>
      </c>
      <c r="AP23" s="160">
        <f t="shared" si="15"/>
        <v>25.640121898164569</v>
      </c>
      <c r="AQ23" s="161">
        <f t="shared" si="16"/>
        <v>5.9732656151103445</v>
      </c>
      <c r="AT23" s="52">
        <f t="shared" si="17"/>
        <v>2.9312748366966445E-3</v>
      </c>
      <c r="AU23" s="52">
        <f t="shared" si="18"/>
        <v>5.9576343737294923E-2</v>
      </c>
      <c r="AV23" s="52">
        <f t="shared" si="19"/>
        <v>0.132055834475544</v>
      </c>
      <c r="AW23" s="52">
        <f t="shared" si="20"/>
        <v>0.14418256686404107</v>
      </c>
      <c r="AX23" s="52">
        <f t="shared" si="21"/>
        <v>0.11309960706708122</v>
      </c>
      <c r="AY23" s="52">
        <f t="shared" si="22"/>
        <v>5.9284979380286137E-2</v>
      </c>
      <c r="AZ23" s="52">
        <f t="shared" si="23"/>
        <v>2.0056855946210966E-2</v>
      </c>
      <c r="BA23" s="52">
        <f t="shared" si="24"/>
        <v>1.4540716254424185E-2</v>
      </c>
      <c r="BB23" s="52">
        <f t="shared" si="25"/>
        <v>1.6052264283681138E-2</v>
      </c>
      <c r="BC23" s="52">
        <f t="shared" si="26"/>
        <v>3.5546118665774132E-2</v>
      </c>
    </row>
    <row r="24" spans="1:55" x14ac:dyDescent="0.35">
      <c r="A24" s="73" t="s">
        <v>48</v>
      </c>
      <c r="B24" s="73">
        <v>2</v>
      </c>
      <c r="C24" s="72" t="s">
        <v>92</v>
      </c>
      <c r="D24" s="73">
        <v>20</v>
      </c>
      <c r="E24" s="75">
        <v>6.4406999999999996</v>
      </c>
      <c r="F24" s="75">
        <v>36.130000000000003</v>
      </c>
      <c r="G24" s="76">
        <v>100</v>
      </c>
      <c r="H24" s="73">
        <v>98.65</v>
      </c>
      <c r="I24" s="73">
        <v>98.1</v>
      </c>
      <c r="J24" s="73">
        <v>96.9</v>
      </c>
      <c r="K24" s="73">
        <v>95.81</v>
      </c>
      <c r="L24" s="73">
        <v>93</v>
      </c>
      <c r="M24" s="73">
        <v>87.74</v>
      </c>
      <c r="N24" s="78">
        <v>80.2</v>
      </c>
      <c r="O24" s="73">
        <v>72.64</v>
      </c>
      <c r="P24" s="73">
        <v>67.69</v>
      </c>
      <c r="Q24" s="49"/>
      <c r="R24" s="21">
        <f t="shared" si="3"/>
        <v>0</v>
      </c>
      <c r="S24" s="21">
        <f t="shared" si="4"/>
        <v>4.3604651162790505E-2</v>
      </c>
      <c r="T24" s="21">
        <f t="shared" si="5"/>
        <v>6.2479447550148171E-2</v>
      </c>
      <c r="U24" s="21">
        <f t="shared" si="6"/>
        <v>0.10612803834303298</v>
      </c>
      <c r="V24" s="21">
        <f t="shared" si="7"/>
        <v>0.14900426742531994</v>
      </c>
      <c r="W24" s="21">
        <f t="shared" si="8"/>
        <v>0.27657052548399841</v>
      </c>
      <c r="X24" s="21">
        <f t="shared" si="9"/>
        <v>0.61147132169576091</v>
      </c>
      <c r="Y24" s="21">
        <f t="shared" si="10"/>
        <v>1.5827338129496393</v>
      </c>
      <c r="Z24" s="21">
        <f t="shared" si="11"/>
        <v>5.5272727272727238</v>
      </c>
      <c r="AA24" s="23">
        <f t="shared" si="12"/>
        <v>0.77424223769269818</v>
      </c>
      <c r="AB24" s="23" cm="1">
        <f t="array" ref="AB24">EXP(INDEX(LINEST(LN($H$2:$O$2),LN(S24:Z24)),1,2))</f>
        <v>0.26897485789800463</v>
      </c>
      <c r="AC24" s="145">
        <v>0.71</v>
      </c>
      <c r="AD24" s="145">
        <f t="shared" si="13"/>
        <v>0.23808003864999602</v>
      </c>
      <c r="AE24" s="145">
        <f t="shared" si="14"/>
        <v>70.063583642838154</v>
      </c>
      <c r="AG24" s="143">
        <f t="shared" si="15"/>
        <v>99.986556647709946</v>
      </c>
      <c r="AH24" s="143">
        <f t="shared" si="15"/>
        <v>99.346771933244469</v>
      </c>
      <c r="AI24" s="143">
        <f t="shared" si="15"/>
        <v>98.666718731215553</v>
      </c>
      <c r="AJ24" s="143">
        <f t="shared" si="15"/>
        <v>97.235072889471184</v>
      </c>
      <c r="AK24" s="143">
        <f t="shared" si="15"/>
        <v>94.621091064947564</v>
      </c>
      <c r="AL24" s="143">
        <f t="shared" si="15"/>
        <v>90.447438209513564</v>
      </c>
      <c r="AM24" s="143">
        <f t="shared" si="15"/>
        <v>85.035336127699452</v>
      </c>
      <c r="AN24" s="143">
        <f t="shared" si="15"/>
        <v>79.656377629517664</v>
      </c>
      <c r="AO24" s="143">
        <f t="shared" si="15"/>
        <v>75.440531113543756</v>
      </c>
      <c r="AP24" s="143">
        <f t="shared" si="15"/>
        <v>72.846196790930577</v>
      </c>
      <c r="AQ24" s="140">
        <f t="shared" si="16"/>
        <v>2.0861978670579764</v>
      </c>
      <c r="AT24">
        <f t="shared" si="17"/>
        <v>1.3443352290053666E-4</v>
      </c>
      <c r="AU24">
        <f t="shared" si="18"/>
        <v>7.0630707880837609E-3</v>
      </c>
      <c r="AV24">
        <f t="shared" si="19"/>
        <v>5.7769493498018255E-3</v>
      </c>
      <c r="AW24">
        <f t="shared" si="20"/>
        <v>3.4579245559461075E-3</v>
      </c>
      <c r="AX24">
        <f t="shared" si="21"/>
        <v>1.2409027607268955E-2</v>
      </c>
      <c r="AY24">
        <f t="shared" si="22"/>
        <v>2.7446900972972432E-2</v>
      </c>
      <c r="AZ24">
        <f t="shared" si="23"/>
        <v>3.0825893233423104E-2</v>
      </c>
      <c r="BA24">
        <f t="shared" si="24"/>
        <v>6.7783337965378939E-3</v>
      </c>
      <c r="BB24">
        <f t="shared" si="25"/>
        <v>3.8553567091736719E-2</v>
      </c>
      <c r="BC24">
        <f t="shared" si="26"/>
        <v>7.61736857871263E-2</v>
      </c>
    </row>
    <row r="25" spans="1:55" x14ac:dyDescent="0.35">
      <c r="A25" s="73" t="s">
        <v>48</v>
      </c>
      <c r="B25" s="73">
        <v>2</v>
      </c>
      <c r="C25" s="72" t="s">
        <v>92</v>
      </c>
      <c r="D25" s="73">
        <v>21</v>
      </c>
      <c r="E25" s="74">
        <v>46.975999999999999</v>
      </c>
      <c r="F25" s="75">
        <v>38.92</v>
      </c>
      <c r="G25" s="76">
        <v>100</v>
      </c>
      <c r="H25" s="73">
        <v>97.23</v>
      </c>
      <c r="I25" s="73">
        <v>96.67</v>
      </c>
      <c r="J25" s="73">
        <v>95.52</v>
      </c>
      <c r="K25" s="73">
        <v>90.26</v>
      </c>
      <c r="L25" s="73">
        <v>78.77</v>
      </c>
      <c r="M25" s="73">
        <v>69.69</v>
      </c>
      <c r="N25" s="78">
        <v>62.69</v>
      </c>
      <c r="O25" s="73">
        <v>57.93</v>
      </c>
      <c r="P25" s="73">
        <v>54.93</v>
      </c>
      <c r="Q25" s="49"/>
      <c r="R25" s="21">
        <f t="shared" si="3"/>
        <v>0</v>
      </c>
      <c r="S25" s="21">
        <f t="shared" si="4"/>
        <v>6.5484633569739853E-2</v>
      </c>
      <c r="T25" s="21">
        <f t="shared" si="5"/>
        <v>7.9779587925251513E-2</v>
      </c>
      <c r="U25" s="21">
        <f t="shared" si="6"/>
        <v>0.11037201281103731</v>
      </c>
      <c r="V25" s="21">
        <f t="shared" si="7"/>
        <v>0.27568638550806662</v>
      </c>
      <c r="W25" s="21">
        <f t="shared" si="8"/>
        <v>0.89052013422818821</v>
      </c>
      <c r="X25" s="21">
        <f t="shared" si="9"/>
        <v>2.0535230352303526</v>
      </c>
      <c r="Y25" s="21">
        <f t="shared" si="10"/>
        <v>4.8079896907216506</v>
      </c>
      <c r="Z25" s="21">
        <f t="shared" si="11"/>
        <v>14.023333333333333</v>
      </c>
      <c r="AA25" s="23">
        <f t="shared" si="12"/>
        <v>0.64767888903508153</v>
      </c>
      <c r="AB25" s="23" cm="1">
        <f t="array" ref="AB25">EXP(INDEX(LINEST(LN($H$2:$O$2),LN(S25:Z25)),1,2))</f>
        <v>0.14518388388736839</v>
      </c>
      <c r="AC25" s="145">
        <v>0.71</v>
      </c>
      <c r="AD25" s="145">
        <f t="shared" si="13"/>
        <v>0.12782677642693918</v>
      </c>
      <c r="AE25" s="145">
        <f t="shared" si="14"/>
        <v>51.727551305149355</v>
      </c>
      <c r="AG25" s="143">
        <f t="shared" si="15"/>
        <v>99.947981470554041</v>
      </c>
      <c r="AH25" s="143">
        <f t="shared" si="15"/>
        <v>97.54580449879947</v>
      </c>
      <c r="AI25" s="143">
        <f t="shared" si="15"/>
        <v>95.140902600980638</v>
      </c>
      <c r="AJ25" s="143">
        <f t="shared" si="15"/>
        <v>90.521170803137053</v>
      </c>
      <c r="AK25" s="143">
        <f t="shared" si="15"/>
        <v>83.362170483845517</v>
      </c>
      <c r="AL25" s="143">
        <f t="shared" si="15"/>
        <v>74.441085366867242</v>
      </c>
      <c r="AM25" s="143">
        <f t="shared" si="15"/>
        <v>65.92516332052233</v>
      </c>
      <c r="AN25" s="143">
        <f t="shared" si="15"/>
        <v>59.651170894986059</v>
      </c>
      <c r="AO25" s="143">
        <f t="shared" si="15"/>
        <v>55.761182452433012</v>
      </c>
      <c r="AP25" s="143">
        <f t="shared" si="15"/>
        <v>53.703371327196088</v>
      </c>
      <c r="AQ25" s="140">
        <f t="shared" si="16"/>
        <v>3.6556274898558456</v>
      </c>
      <c r="AT25">
        <f t="shared" si="17"/>
        <v>5.2018529445959413E-4</v>
      </c>
      <c r="AU25">
        <f t="shared" si="18"/>
        <v>3.2480150035942169E-3</v>
      </c>
      <c r="AV25">
        <f t="shared" si="19"/>
        <v>1.5817703517320404E-2</v>
      </c>
      <c r="AW25">
        <f t="shared" si="20"/>
        <v>5.2332801474695802E-2</v>
      </c>
      <c r="AX25">
        <f t="shared" si="21"/>
        <v>7.6421776159478039E-2</v>
      </c>
      <c r="AY25">
        <f t="shared" si="22"/>
        <v>5.4956387369972763E-2</v>
      </c>
      <c r="AZ25">
        <f t="shared" si="23"/>
        <v>5.402262418535899E-2</v>
      </c>
      <c r="BA25">
        <f t="shared" si="24"/>
        <v>4.8473905008995677E-2</v>
      </c>
      <c r="BB25">
        <f t="shared" si="25"/>
        <v>3.7438590498308097E-2</v>
      </c>
      <c r="BC25">
        <f t="shared" si="26"/>
        <v>2.233076047340091E-2</v>
      </c>
    </row>
    <row r="26" spans="1:55" x14ac:dyDescent="0.35">
      <c r="A26" s="73" t="s">
        <v>48</v>
      </c>
      <c r="B26" s="73">
        <v>2</v>
      </c>
      <c r="C26" s="72" t="s">
        <v>92</v>
      </c>
      <c r="D26" s="73">
        <v>22</v>
      </c>
      <c r="E26" s="74">
        <v>103.875</v>
      </c>
      <c r="F26" s="75">
        <v>37.11</v>
      </c>
      <c r="G26" s="76">
        <v>100</v>
      </c>
      <c r="H26" s="73">
        <v>98.43</v>
      </c>
      <c r="I26" s="73">
        <v>95.69</v>
      </c>
      <c r="J26" s="73">
        <v>89.92</v>
      </c>
      <c r="K26" s="73">
        <v>77.290000000000006</v>
      </c>
      <c r="L26" s="73">
        <v>66.11</v>
      </c>
      <c r="M26" s="73">
        <v>57.43</v>
      </c>
      <c r="N26" s="78">
        <v>50.84</v>
      </c>
      <c r="O26" s="73">
        <v>46.04</v>
      </c>
      <c r="P26" s="73">
        <v>43.04</v>
      </c>
      <c r="Q26" s="49"/>
      <c r="R26" s="21">
        <f t="shared" si="3"/>
        <v>0</v>
      </c>
      <c r="S26" s="21">
        <f t="shared" si="4"/>
        <v>2.834446651020027E-2</v>
      </c>
      <c r="T26" s="21">
        <f t="shared" si="5"/>
        <v>8.1861348528015243E-2</v>
      </c>
      <c r="U26" s="21">
        <f t="shared" si="6"/>
        <v>0.21501706484641633</v>
      </c>
      <c r="V26" s="21">
        <f t="shared" si="7"/>
        <v>0.66306569343065658</v>
      </c>
      <c r="W26" s="21">
        <f t="shared" si="8"/>
        <v>1.46900736887733</v>
      </c>
      <c r="X26" s="21">
        <f t="shared" si="9"/>
        <v>2.9583043780403058</v>
      </c>
      <c r="Y26" s="21">
        <f t="shared" si="10"/>
        <v>6.3025641025640988</v>
      </c>
      <c r="Z26" s="21">
        <f t="shared" si="11"/>
        <v>17.986666666666668</v>
      </c>
      <c r="AA26" s="23">
        <f t="shared" si="12"/>
        <v>0.59812474214099043</v>
      </c>
      <c r="AB26" s="23" cm="1">
        <f t="array" ref="AB26">EXP(INDEX(LINEST(LN($H$2:$O$2),LN(S26:Z26)),1,2))</f>
        <v>0.12093924713010348</v>
      </c>
      <c r="AC26" s="145">
        <v>0.71</v>
      </c>
      <c r="AD26" s="145">
        <f t="shared" si="13"/>
        <v>9.9712838868573211E-2</v>
      </c>
      <c r="AE26" s="145">
        <f t="shared" si="14"/>
        <v>44.404658799695447</v>
      </c>
      <c r="AG26" s="143">
        <f t="shared" si="15"/>
        <v>99.915036613246102</v>
      </c>
      <c r="AH26" s="143">
        <f t="shared" si="15"/>
        <v>96.07329505906408</v>
      </c>
      <c r="AI26" s="143">
        <f t="shared" si="15"/>
        <v>92.381119826629302</v>
      </c>
      <c r="AJ26" s="143">
        <f t="shared" si="15"/>
        <v>85.688011027692724</v>
      </c>
      <c r="AK26" s="143">
        <f t="shared" si="15"/>
        <v>76.242262678295646</v>
      </c>
      <c r="AL26" s="143">
        <f t="shared" si="15"/>
        <v>65.815717188297668</v>
      </c>
      <c r="AM26" s="143">
        <f t="shared" si="15"/>
        <v>57.024902682217295</v>
      </c>
      <c r="AN26" s="143">
        <f t="shared" si="15"/>
        <v>51.163969296329427</v>
      </c>
      <c r="AO26" s="143">
        <f t="shared" si="15"/>
        <v>47.761659279028606</v>
      </c>
      <c r="AP26" s="143">
        <f t="shared" si="15"/>
        <v>46.028094617239013</v>
      </c>
      <c r="AQ26" s="140">
        <f t="shared" si="16"/>
        <v>2.4468995776687796</v>
      </c>
      <c r="AT26">
        <f t="shared" si="17"/>
        <v>8.4963386753898361E-4</v>
      </c>
      <c r="AU26">
        <f t="shared" si="18"/>
        <v>2.3942953783764369E-2</v>
      </c>
      <c r="AV26">
        <f t="shared" si="19"/>
        <v>3.4579163688689477E-2</v>
      </c>
      <c r="AW26">
        <f t="shared" si="20"/>
        <v>4.7063934300570258E-2</v>
      </c>
      <c r="AX26">
        <f t="shared" si="21"/>
        <v>1.355592342740795E-2</v>
      </c>
      <c r="AY26">
        <f t="shared" si="22"/>
        <v>4.4514114612362893E-3</v>
      </c>
      <c r="AZ26">
        <f t="shared" si="23"/>
        <v>7.0537579276110851E-3</v>
      </c>
      <c r="BA26">
        <f t="shared" si="24"/>
        <v>6.3723307696582051E-3</v>
      </c>
      <c r="BB26">
        <f t="shared" si="25"/>
        <v>3.7394858362915014E-2</v>
      </c>
      <c r="BC26">
        <f t="shared" si="26"/>
        <v>6.942599017748638E-2</v>
      </c>
    </row>
    <row r="27" spans="1:55" x14ac:dyDescent="0.35">
      <c r="A27" s="73" t="s">
        <v>48</v>
      </c>
      <c r="B27" s="73">
        <v>2</v>
      </c>
      <c r="C27" s="72" t="s">
        <v>92</v>
      </c>
      <c r="D27" s="73">
        <v>23</v>
      </c>
      <c r="E27" s="74">
        <v>213.971</v>
      </c>
      <c r="F27" s="75">
        <v>37.049999999999997</v>
      </c>
      <c r="G27" s="76">
        <v>100</v>
      </c>
      <c r="H27" s="73">
        <v>91.06</v>
      </c>
      <c r="I27" s="73">
        <v>88.32</v>
      </c>
      <c r="J27" s="73">
        <v>82.62</v>
      </c>
      <c r="K27" s="73">
        <v>70.42</v>
      </c>
      <c r="L27" s="73">
        <v>58.43</v>
      </c>
      <c r="M27" s="73">
        <v>49.45</v>
      </c>
      <c r="N27" s="78">
        <v>42.87</v>
      </c>
      <c r="O27" s="73">
        <v>38.19</v>
      </c>
      <c r="P27" s="73">
        <v>35.03</v>
      </c>
      <c r="Q27" s="49"/>
      <c r="R27" s="21">
        <f t="shared" si="3"/>
        <v>0</v>
      </c>
      <c r="S27" s="21">
        <f t="shared" si="4"/>
        <v>0.15955737997501335</v>
      </c>
      <c r="T27" s="21">
        <f t="shared" si="5"/>
        <v>0.21917808219178098</v>
      </c>
      <c r="U27" s="21">
        <f t="shared" si="6"/>
        <v>0.36520277369195198</v>
      </c>
      <c r="V27" s="21">
        <f t="shared" si="7"/>
        <v>0.83582933031929918</v>
      </c>
      <c r="W27" s="21">
        <f t="shared" si="8"/>
        <v>1.7764957264957266</v>
      </c>
      <c r="X27" s="21">
        <f t="shared" si="9"/>
        <v>3.5055478502080439</v>
      </c>
      <c r="Y27" s="21">
        <f t="shared" si="10"/>
        <v>7.2869897959183714</v>
      </c>
      <c r="Z27" s="21">
        <f t="shared" si="11"/>
        <v>19.560126582278503</v>
      </c>
      <c r="AA27" s="23">
        <f t="shared" si="12"/>
        <v>0.76394837772060464</v>
      </c>
      <c r="AB27" s="23" cm="1">
        <f t="array" ref="AB27">EXP(INDEX(LINEST(LN($H$2:$O$2),LN(S27:Z27)),1,2))</f>
        <v>8.519238477534409E-2</v>
      </c>
      <c r="AC27" s="145">
        <v>0.71</v>
      </c>
      <c r="AD27" s="145">
        <f t="shared" si="13"/>
        <v>7.9527612865170239E-2</v>
      </c>
      <c r="AE27" s="145">
        <f t="shared" si="14"/>
        <v>37.736023941482216</v>
      </c>
      <c r="AG27" s="143">
        <f t="shared" si="15"/>
        <v>99.869221045624812</v>
      </c>
      <c r="AH27" s="143">
        <f t="shared" si="15"/>
        <v>94.108511963135967</v>
      </c>
      <c r="AI27" s="143">
        <f t="shared" si="15"/>
        <v>88.839789981713494</v>
      </c>
      <c r="AJ27" s="143">
        <f t="shared" si="15"/>
        <v>79.899151714709618</v>
      </c>
      <c r="AK27" s="143">
        <f t="shared" si="15"/>
        <v>68.465842784971045</v>
      </c>
      <c r="AL27" s="143">
        <f t="shared" si="15"/>
        <v>57.220564981993924</v>
      </c>
      <c r="AM27" s="143">
        <f t="shared" si="15"/>
        <v>48.692589627810399</v>
      </c>
      <c r="AN27" s="143">
        <f t="shared" si="15"/>
        <v>43.429714757376871</v>
      </c>
      <c r="AO27" s="143">
        <f t="shared" si="15"/>
        <v>40.515783595957181</v>
      </c>
      <c r="AP27" s="143">
        <f t="shared" si="15"/>
        <v>39.068780163442035</v>
      </c>
      <c r="AQ27" s="140">
        <f t="shared" si="16"/>
        <v>3.2662014082006889</v>
      </c>
      <c r="AT27">
        <f t="shared" si="17"/>
        <v>1.3077895437518805E-3</v>
      </c>
      <c r="AU27">
        <f t="shared" si="18"/>
        <v>3.347805801818543E-2</v>
      </c>
      <c r="AV27">
        <f t="shared" si="19"/>
        <v>5.8853032349807637E-3</v>
      </c>
      <c r="AW27">
        <f t="shared" si="20"/>
        <v>3.2932078011261037E-2</v>
      </c>
      <c r="AX27">
        <f t="shared" si="21"/>
        <v>2.775003145454355E-2</v>
      </c>
      <c r="AY27">
        <f t="shared" si="22"/>
        <v>2.0698870751430357E-2</v>
      </c>
      <c r="AZ27">
        <f t="shared" si="23"/>
        <v>1.5316691045290267E-2</v>
      </c>
      <c r="BA27">
        <f t="shared" si="24"/>
        <v>1.3056094177207225E-2</v>
      </c>
      <c r="BB27">
        <f t="shared" si="25"/>
        <v>6.0900329823440263E-2</v>
      </c>
      <c r="BC27">
        <f t="shared" si="26"/>
        <v>0.11529489475997813</v>
      </c>
    </row>
    <row r="28" spans="1:55" x14ac:dyDescent="0.35">
      <c r="A28" s="73" t="s">
        <v>48</v>
      </c>
      <c r="B28" s="73">
        <v>1</v>
      </c>
      <c r="C28" s="72" t="s">
        <v>93</v>
      </c>
      <c r="D28" s="73">
        <v>24</v>
      </c>
      <c r="E28" s="74">
        <v>63.169199999999996</v>
      </c>
      <c r="F28" s="75">
        <v>36.020000000000003</v>
      </c>
      <c r="G28" s="76">
        <v>100</v>
      </c>
      <c r="H28" s="73">
        <v>96.33</v>
      </c>
      <c r="I28" s="73">
        <v>94.83</v>
      </c>
      <c r="J28" s="73">
        <v>92.19</v>
      </c>
      <c r="K28" s="73">
        <v>83.05</v>
      </c>
      <c r="L28" s="73">
        <v>68.349999999999994</v>
      </c>
      <c r="M28" s="73">
        <v>57.42</v>
      </c>
      <c r="N28" s="78">
        <v>49.22</v>
      </c>
      <c r="O28" s="73">
        <v>43.76</v>
      </c>
      <c r="P28" s="73">
        <v>40.76</v>
      </c>
      <c r="Q28" s="49"/>
      <c r="R28" s="21">
        <f t="shared" si="3"/>
        <v>0</v>
      </c>
      <c r="S28" s="21">
        <f t="shared" si="4"/>
        <v>6.6042828864495265E-2</v>
      </c>
      <c r="T28" s="21">
        <f t="shared" si="5"/>
        <v>9.5616793046051446E-2</v>
      </c>
      <c r="U28" s="21">
        <f t="shared" si="6"/>
        <v>0.15185689286408716</v>
      </c>
      <c r="V28" s="21">
        <f t="shared" si="7"/>
        <v>0.40080397257034767</v>
      </c>
      <c r="W28" s="21">
        <f t="shared" si="8"/>
        <v>1.1471547662196451</v>
      </c>
      <c r="X28" s="21">
        <f t="shared" si="9"/>
        <v>2.5558223289315718</v>
      </c>
      <c r="Y28" s="21">
        <f t="shared" si="10"/>
        <v>6.0023640661938531</v>
      </c>
      <c r="Z28" s="21">
        <f t="shared" si="11"/>
        <v>18.746666666666666</v>
      </c>
      <c r="AA28" s="23">
        <f t="shared" si="12"/>
        <v>0.64019625963239268</v>
      </c>
      <c r="AB28" s="23" cm="1">
        <f t="array" ref="AB28">EXP(INDEX(LINEST(LN($H$2:$O$2),LN(S28:Z28)),1,2))</f>
        <v>0.12457539552971189</v>
      </c>
      <c r="AC28" s="145">
        <v>0.71</v>
      </c>
      <c r="AD28" s="145">
        <f t="shared" si="13"/>
        <v>0.1165093696354049</v>
      </c>
      <c r="AE28" s="145">
        <f t="shared" si="14"/>
        <v>48.994402195025671</v>
      </c>
      <c r="AG28" s="143">
        <f t="shared" si="15"/>
        <v>99.937379443216074</v>
      </c>
      <c r="AH28" s="143">
        <f t="shared" si="15"/>
        <v>97.065970153496238</v>
      </c>
      <c r="AI28" s="143">
        <f t="shared" si="15"/>
        <v>94.230678373545075</v>
      </c>
      <c r="AJ28" s="143">
        <f t="shared" si="15"/>
        <v>88.891782232233552</v>
      </c>
      <c r="AK28" s="143">
        <f t="shared" si="15"/>
        <v>80.886980541046</v>
      </c>
      <c r="AL28" s="143">
        <f t="shared" si="15"/>
        <v>71.343495473590664</v>
      </c>
      <c r="AM28" s="143">
        <f t="shared" si="15"/>
        <v>62.651284789858742</v>
      </c>
      <c r="AN28" s="143">
        <f t="shared" si="15"/>
        <v>56.492501425376901</v>
      </c>
      <c r="AO28" s="143">
        <f t="shared" si="15"/>
        <v>52.773376640650866</v>
      </c>
      <c r="AP28" s="143">
        <f t="shared" si="15"/>
        <v>50.835774494293126</v>
      </c>
      <c r="AQ28" s="140">
        <f t="shared" si="16"/>
        <v>8.1223511235519332</v>
      </c>
      <c r="AT28">
        <f t="shared" si="17"/>
        <v>6.2620556783926423E-4</v>
      </c>
      <c r="AU28">
        <f t="shared" si="18"/>
        <v>7.6400929460836682E-3</v>
      </c>
      <c r="AV28">
        <f t="shared" si="19"/>
        <v>6.3199580982275993E-3</v>
      </c>
      <c r="AW28">
        <f t="shared" si="20"/>
        <v>3.5776307275913279E-2</v>
      </c>
      <c r="AX28">
        <f t="shared" si="21"/>
        <v>2.6044785779096892E-2</v>
      </c>
      <c r="AY28">
        <f t="shared" si="22"/>
        <v>4.3796568743096856E-2</v>
      </c>
      <c r="AZ28">
        <f t="shared" si="23"/>
        <v>9.1105621557971792E-2</v>
      </c>
      <c r="BA28">
        <f t="shared" si="24"/>
        <v>0.1477550066106644</v>
      </c>
      <c r="BB28">
        <f t="shared" si="25"/>
        <v>0.20597295796734161</v>
      </c>
      <c r="BC28">
        <f t="shared" si="26"/>
        <v>0.24719760780895803</v>
      </c>
    </row>
    <row r="29" spans="1:55" x14ac:dyDescent="0.35">
      <c r="A29" s="73" t="s">
        <v>48</v>
      </c>
      <c r="B29" s="73">
        <v>1</v>
      </c>
      <c r="C29" s="72" t="s">
        <v>93</v>
      </c>
      <c r="D29" s="73">
        <v>25</v>
      </c>
      <c r="E29" s="75">
        <v>8.7720000000000002</v>
      </c>
      <c r="F29" s="75">
        <v>36.65</v>
      </c>
      <c r="G29" s="76">
        <v>100</v>
      </c>
      <c r="H29" s="73">
        <v>97.97</v>
      </c>
      <c r="I29" s="73">
        <v>97.5</v>
      </c>
      <c r="J29" s="73">
        <v>96.5</v>
      </c>
      <c r="K29" s="73">
        <v>95.57</v>
      </c>
      <c r="L29" s="73">
        <v>91.62</v>
      </c>
      <c r="M29" s="19">
        <v>81.459999999999994</v>
      </c>
      <c r="N29" s="73">
        <v>72.98</v>
      </c>
      <c r="O29" s="19">
        <v>67.099999999999994</v>
      </c>
      <c r="P29" s="19">
        <v>64.22</v>
      </c>
      <c r="Q29" s="19"/>
      <c r="R29" s="21">
        <f t="shared" si="3"/>
        <v>0</v>
      </c>
      <c r="S29" s="21">
        <f t="shared" si="4"/>
        <v>6.014814814814818E-2</v>
      </c>
      <c r="T29" s="21">
        <f t="shared" si="5"/>
        <v>7.5120192307692304E-2</v>
      </c>
      <c r="U29" s="21">
        <f t="shared" si="6"/>
        <v>0.1084262701363073</v>
      </c>
      <c r="V29" s="21">
        <f t="shared" si="7"/>
        <v>0.14130781499202577</v>
      </c>
      <c r="W29" s="21">
        <f t="shared" si="8"/>
        <v>0.30583941605839393</v>
      </c>
      <c r="X29" s="21">
        <f t="shared" si="9"/>
        <v>1.0754060324825994</v>
      </c>
      <c r="Y29" s="21">
        <f t="shared" si="10"/>
        <v>3.0844748858447466</v>
      </c>
      <c r="Z29" s="21">
        <f t="shared" si="11"/>
        <v>11.42361111111113</v>
      </c>
      <c r="AA29" s="23">
        <f t="shared" si="12"/>
        <v>0.66374932624006266</v>
      </c>
      <c r="AB29" s="23" cm="1">
        <f t="array" ref="AB29">EXP(INDEX(LINEST(LN($H$2:$O$2),LN(S29:Z29)),1,2))</f>
        <v>0.19076728454268921</v>
      </c>
      <c r="AC29" s="145">
        <v>0.71</v>
      </c>
      <c r="AD29" s="145">
        <f t="shared" si="13"/>
        <v>0.21613702357661149</v>
      </c>
      <c r="AE29" s="145">
        <f t="shared" si="14"/>
        <v>67.21279974363253</v>
      </c>
      <c r="AG29" s="143">
        <f t="shared" si="15"/>
        <v>99.983129425507755</v>
      </c>
      <c r="AH29" s="143">
        <f t="shared" si="15"/>
        <v>99.182787192083453</v>
      </c>
      <c r="AI29" s="143">
        <f t="shared" si="15"/>
        <v>98.337507679920591</v>
      </c>
      <c r="AJ29" s="143">
        <f t="shared" si="15"/>
        <v>96.576098158140525</v>
      </c>
      <c r="AK29" s="143">
        <f t="shared" si="15"/>
        <v>93.42180591125836</v>
      </c>
      <c r="AL29" s="143">
        <f t="shared" si="15"/>
        <v>88.544651212661748</v>
      </c>
      <c r="AM29" s="143">
        <f t="shared" si="15"/>
        <v>82.495670300400405</v>
      </c>
      <c r="AN29" s="143">
        <f t="shared" si="15"/>
        <v>76.771389794859132</v>
      </c>
      <c r="AO29" s="143">
        <f t="shared" si="15"/>
        <v>72.472259804088296</v>
      </c>
      <c r="AP29" s="143">
        <f t="shared" si="15"/>
        <v>69.904220177057496</v>
      </c>
      <c r="AQ29" s="140">
        <f t="shared" si="16"/>
        <v>3.1121042648908182</v>
      </c>
      <c r="AT29">
        <f t="shared" si="17"/>
        <v>1.6870574492244828E-4</v>
      </c>
      <c r="AU29">
        <f t="shared" si="18"/>
        <v>1.2379169052602364E-2</v>
      </c>
      <c r="AV29">
        <f t="shared" si="19"/>
        <v>8.5898223581599119E-3</v>
      </c>
      <c r="AW29">
        <f t="shared" si="20"/>
        <v>7.885819496427427E-4</v>
      </c>
      <c r="AX29">
        <f t="shared" si="21"/>
        <v>2.2477703136356941E-2</v>
      </c>
      <c r="AY29">
        <f t="shared" si="22"/>
        <v>3.3566347820762461E-2</v>
      </c>
      <c r="AZ29">
        <f t="shared" si="23"/>
        <v>1.271385097471657E-2</v>
      </c>
      <c r="BA29">
        <f t="shared" si="24"/>
        <v>5.1951079677433933E-2</v>
      </c>
      <c r="BB29">
        <f t="shared" si="25"/>
        <v>8.0063484412642355E-2</v>
      </c>
      <c r="BC29">
        <f t="shared" si="26"/>
        <v>8.8511681361842065E-2</v>
      </c>
    </row>
    <row r="30" spans="1:55" x14ac:dyDescent="0.35">
      <c r="A30" s="73" t="s">
        <v>48</v>
      </c>
      <c r="B30" s="73">
        <v>1</v>
      </c>
      <c r="C30" s="72" t="s">
        <v>94</v>
      </c>
      <c r="D30" s="73">
        <v>26</v>
      </c>
      <c r="E30" s="74">
        <v>276.43689999999998</v>
      </c>
      <c r="F30" s="75">
        <v>37.01</v>
      </c>
      <c r="G30" s="76">
        <v>100</v>
      </c>
      <c r="H30" s="73">
        <v>94.07</v>
      </c>
      <c r="I30" s="73">
        <v>88.1</v>
      </c>
      <c r="J30" s="73">
        <v>78.180000000000007</v>
      </c>
      <c r="K30" s="73">
        <v>67.06</v>
      </c>
      <c r="L30" s="73">
        <v>58.6</v>
      </c>
      <c r="M30" s="19">
        <v>51.94</v>
      </c>
      <c r="N30" s="73">
        <v>46.3</v>
      </c>
      <c r="O30" s="19">
        <v>42.02</v>
      </c>
      <c r="P30" s="19">
        <v>39.020000000000003</v>
      </c>
      <c r="Q30" s="19"/>
      <c r="R30" s="21">
        <f t="shared" si="3"/>
        <v>0</v>
      </c>
      <c r="S30" s="21">
        <f t="shared" si="4"/>
        <v>0.10772025431425991</v>
      </c>
      <c r="T30" s="21">
        <f t="shared" si="5"/>
        <v>0.24246128769356168</v>
      </c>
      <c r="U30" s="21">
        <f t="shared" si="6"/>
        <v>0.55720122574055131</v>
      </c>
      <c r="V30" s="21">
        <f t="shared" si="7"/>
        <v>1.1747503566333808</v>
      </c>
      <c r="W30" s="21">
        <f t="shared" si="8"/>
        <v>2.1144024514811033</v>
      </c>
      <c r="X30" s="21">
        <f t="shared" si="9"/>
        <v>3.7198142414860698</v>
      </c>
      <c r="Y30" s="21">
        <f t="shared" si="10"/>
        <v>7.376373626373633</v>
      </c>
      <c r="Z30" s="21">
        <f t="shared" si="11"/>
        <v>19.326666666666664</v>
      </c>
      <c r="AA30" s="23">
        <f t="shared" si="12"/>
        <v>0.75744388821007336</v>
      </c>
      <c r="AB30" s="23" cm="1">
        <f t="array" ref="AB30">EXP(INDEX(LINEST(LN($H$2:$O$2),LN(S30:Z30)),1,2))</f>
        <v>7.9840367787020097E-2</v>
      </c>
      <c r="AC30" s="145">
        <v>0.71</v>
      </c>
      <c r="AD30" s="145">
        <f t="shared" si="13"/>
        <v>7.340057855268968E-2</v>
      </c>
      <c r="AE30" s="145">
        <f t="shared" si="14"/>
        <v>35.372344704202021</v>
      </c>
      <c r="AG30" s="143">
        <f t="shared" si="15"/>
        <v>99.84806757520451</v>
      </c>
      <c r="AH30" s="143">
        <f t="shared" si="15"/>
        <v>93.230417988758418</v>
      </c>
      <c r="AI30" s="143">
        <f t="shared" si="15"/>
        <v>87.30341735453537</v>
      </c>
      <c r="AJ30" s="143">
        <f t="shared" si="15"/>
        <v>77.509913382147644</v>
      </c>
      <c r="AK30" s="143">
        <f t="shared" si="15"/>
        <v>65.447880574889453</v>
      </c>
      <c r="AL30" s="143">
        <f t="shared" si="15"/>
        <v>54.061566801205529</v>
      </c>
      <c r="AM30" s="143">
        <f t="shared" si="15"/>
        <v>45.725046850451733</v>
      </c>
      <c r="AN30" s="143">
        <f t="shared" si="15"/>
        <v>40.703197577300614</v>
      </c>
      <c r="AO30" s="143">
        <f t="shared" si="15"/>
        <v>37.961892628775686</v>
      </c>
      <c r="AP30" s="143">
        <f t="shared" si="15"/>
        <v>36.610815922404477</v>
      </c>
      <c r="AQ30" s="140">
        <f t="shared" si="16"/>
        <v>5.2840045838306722</v>
      </c>
      <c r="AT30">
        <f t="shared" si="17"/>
        <v>1.5193242479548984E-3</v>
      </c>
      <c r="AU30">
        <f t="shared" si="18"/>
        <v>8.9250771897690546E-3</v>
      </c>
      <c r="AV30">
        <f t="shared" si="19"/>
        <v>9.0418007430717907E-3</v>
      </c>
      <c r="AW30">
        <f t="shared" si="20"/>
        <v>8.5710746719411934E-3</v>
      </c>
      <c r="AX30">
        <f t="shared" si="21"/>
        <v>2.4039955638391727E-2</v>
      </c>
      <c r="AY30">
        <f t="shared" si="22"/>
        <v>7.7447665508438082E-2</v>
      </c>
      <c r="AZ30">
        <f t="shared" si="23"/>
        <v>0.11965639487000895</v>
      </c>
      <c r="BA30">
        <f t="shared" si="24"/>
        <v>0.12088126182936033</v>
      </c>
      <c r="BB30">
        <f t="shared" si="25"/>
        <v>9.6575615688346411E-2</v>
      </c>
      <c r="BC30">
        <f t="shared" si="26"/>
        <v>6.1742287995784878E-2</v>
      </c>
    </row>
    <row r="31" spans="1:55" x14ac:dyDescent="0.35">
      <c r="A31" s="73" t="s">
        <v>48</v>
      </c>
      <c r="B31" s="73">
        <v>1</v>
      </c>
      <c r="C31" s="72" t="s">
        <v>94</v>
      </c>
      <c r="D31" s="73">
        <v>27</v>
      </c>
      <c r="E31" s="74">
        <v>29.881900000000002</v>
      </c>
      <c r="F31" s="75">
        <v>38.729999999999997</v>
      </c>
      <c r="G31" s="76">
        <v>100</v>
      </c>
      <c r="H31" s="73">
        <v>97.6</v>
      </c>
      <c r="I31" s="73">
        <v>96.7</v>
      </c>
      <c r="J31" s="73">
        <v>95.4</v>
      </c>
      <c r="K31" s="73">
        <v>92.01</v>
      </c>
      <c r="L31" s="73">
        <v>83.3</v>
      </c>
      <c r="M31" s="19">
        <v>72.430000000000007</v>
      </c>
      <c r="N31" s="73">
        <v>63.62</v>
      </c>
      <c r="O31" s="19">
        <v>57.1</v>
      </c>
      <c r="P31" s="19">
        <v>53.52</v>
      </c>
      <c r="Q31" s="19"/>
      <c r="R31" s="21">
        <f t="shared" si="3"/>
        <v>0</v>
      </c>
      <c r="S31" s="21">
        <f t="shared" si="4"/>
        <v>5.4446460980036436E-2</v>
      </c>
      <c r="T31" s="21">
        <f t="shared" si="5"/>
        <v>7.6424270495599744E-2</v>
      </c>
      <c r="U31" s="21">
        <f t="shared" si="6"/>
        <v>0.10983763132760253</v>
      </c>
      <c r="V31" s="21">
        <f t="shared" si="7"/>
        <v>0.20758638607430488</v>
      </c>
      <c r="W31" s="21">
        <f t="shared" si="8"/>
        <v>0.56077904633982556</v>
      </c>
      <c r="X31" s="21">
        <f t="shared" si="9"/>
        <v>1.457958751983077</v>
      </c>
      <c r="Y31" s="21">
        <f t="shared" si="10"/>
        <v>3.6019801980198043</v>
      </c>
      <c r="Z31" s="21">
        <f t="shared" si="11"/>
        <v>11.983240223463692</v>
      </c>
      <c r="AA31" s="23">
        <f t="shared" si="12"/>
        <v>0.66671286859309831</v>
      </c>
      <c r="AB31" s="23" cm="1">
        <f t="array" ref="AB31">EXP(INDEX(LINEST(LN($H$2:$O$2),LN(S31:Z31)),1,2))</f>
        <v>0.16980128381831763</v>
      </c>
      <c r="AC31" s="145">
        <v>0.71</v>
      </c>
      <c r="AD31" s="145">
        <f t="shared" si="13"/>
        <v>0.14727067127563967</v>
      </c>
      <c r="AE31" s="145">
        <f t="shared" si="14"/>
        <v>55.902149814984945</v>
      </c>
      <c r="AG31" s="143">
        <f t="shared" si="15"/>
        <v>99.961064217265601</v>
      </c>
      <c r="AH31" s="143">
        <f t="shared" si="15"/>
        <v>98.146357720547371</v>
      </c>
      <c r="AI31" s="143">
        <f t="shared" si="15"/>
        <v>96.296275832493606</v>
      </c>
      <c r="AJ31" s="143">
        <f t="shared" si="15"/>
        <v>92.645385384556775</v>
      </c>
      <c r="AK31" s="143">
        <f t="shared" si="15"/>
        <v>86.721571664371197</v>
      </c>
      <c r="AL31" s="143">
        <f t="shared" si="15"/>
        <v>78.848037044384128</v>
      </c>
      <c r="AM31" s="143">
        <f t="shared" si="15"/>
        <v>70.769410747268623</v>
      </c>
      <c r="AN31" s="143">
        <f t="shared" si="15"/>
        <v>64.429189974792408</v>
      </c>
      <c r="AO31" s="143">
        <f t="shared" si="15"/>
        <v>60.318766492945379</v>
      </c>
      <c r="AP31" s="143">
        <f t="shared" si="15"/>
        <v>58.085742663393951</v>
      </c>
      <c r="AQ31" s="140">
        <f t="shared" si="16"/>
        <v>3.2728398567449442</v>
      </c>
      <c r="AT31">
        <f t="shared" si="17"/>
        <v>3.893578273439857E-4</v>
      </c>
      <c r="AU31">
        <f t="shared" si="18"/>
        <v>5.5979274646247631E-3</v>
      </c>
      <c r="AV31">
        <f t="shared" si="19"/>
        <v>4.1750172441199244E-3</v>
      </c>
      <c r="AW31">
        <f t="shared" si="20"/>
        <v>2.8874367038188999E-2</v>
      </c>
      <c r="AX31">
        <f t="shared" si="21"/>
        <v>5.7476669227570998E-2</v>
      </c>
      <c r="AY31">
        <f t="shared" si="22"/>
        <v>5.3444933440766736E-2</v>
      </c>
      <c r="AZ31">
        <f t="shared" si="23"/>
        <v>2.2926815583755127E-2</v>
      </c>
      <c r="BA31">
        <f t="shared" si="24"/>
        <v>1.2719113090103902E-2</v>
      </c>
      <c r="BB31">
        <f t="shared" si="25"/>
        <v>5.6370691645278061E-2</v>
      </c>
      <c r="BC31">
        <f t="shared" si="26"/>
        <v>8.5309093112741929E-2</v>
      </c>
    </row>
    <row r="32" spans="1:55" x14ac:dyDescent="0.35">
      <c r="A32" s="73" t="s">
        <v>48</v>
      </c>
      <c r="B32" s="73">
        <v>1</v>
      </c>
      <c r="C32" s="72" t="s">
        <v>94</v>
      </c>
      <c r="D32" s="73">
        <v>28</v>
      </c>
      <c r="E32" s="74">
        <v>375.00799999999998</v>
      </c>
      <c r="F32" s="75">
        <v>36.43</v>
      </c>
      <c r="G32" s="76">
        <v>100</v>
      </c>
      <c r="H32" s="73">
        <v>88.38</v>
      </c>
      <c r="I32" s="73">
        <v>82.58</v>
      </c>
      <c r="J32" s="73">
        <v>71.12</v>
      </c>
      <c r="K32" s="73">
        <v>60.81</v>
      </c>
      <c r="L32" s="73">
        <v>53.47</v>
      </c>
      <c r="M32" s="19">
        <v>47.01</v>
      </c>
      <c r="N32" s="73">
        <v>41.83</v>
      </c>
      <c r="O32" s="19">
        <v>38.020000000000003</v>
      </c>
      <c r="P32" s="19">
        <v>35.44</v>
      </c>
      <c r="Q32" s="19"/>
      <c r="R32" s="21">
        <f t="shared" si="3"/>
        <v>0</v>
      </c>
      <c r="S32" s="21">
        <f t="shared" si="4"/>
        <v>0.21949376652814517</v>
      </c>
      <c r="T32" s="21">
        <f t="shared" si="5"/>
        <v>0.36953754773016551</v>
      </c>
      <c r="U32" s="21">
        <f t="shared" si="6"/>
        <v>0.80941704035874407</v>
      </c>
      <c r="V32" s="21">
        <f t="shared" si="7"/>
        <v>1.5447378793851001</v>
      </c>
      <c r="W32" s="21">
        <f t="shared" si="8"/>
        <v>2.5806988352745424</v>
      </c>
      <c r="X32" s="21">
        <f t="shared" si="9"/>
        <v>4.5799481417458949</v>
      </c>
      <c r="Y32" s="21">
        <f t="shared" si="10"/>
        <v>9.103286384976526</v>
      </c>
      <c r="Z32" s="21">
        <f t="shared" si="11"/>
        <v>24.023255813953437</v>
      </c>
      <c r="AA32" s="23">
        <f t="shared" si="12"/>
        <v>0.82702744534443196</v>
      </c>
      <c r="AB32" s="23" cm="1">
        <f t="array" ref="AB32">EXP(INDEX(LINEST(LN($H$2:$O$2),LN(S32:Z32)),1,2))</f>
        <v>5.9379408209990624E-2</v>
      </c>
      <c r="AC32" s="145">
        <v>0.71</v>
      </c>
      <c r="AD32" s="145">
        <f t="shared" si="13"/>
        <v>6.6718204288084587E-2</v>
      </c>
      <c r="AE32" s="145">
        <f t="shared" si="14"/>
        <v>32.558129770444893</v>
      </c>
      <c r="AG32" s="143">
        <f t="shared" si="15"/>
        <v>99.818698125204179</v>
      </c>
      <c r="AH32" s="143">
        <f t="shared" si="15"/>
        <v>92.039079385226671</v>
      </c>
      <c r="AI32" s="143">
        <f t="shared" si="15"/>
        <v>85.260646929065402</v>
      </c>
      <c r="AJ32" s="143">
        <f t="shared" si="15"/>
        <v>74.433626125848562</v>
      </c>
      <c r="AK32" s="143">
        <f t="shared" si="15"/>
        <v>61.701239351613722</v>
      </c>
      <c r="AL32" s="143">
        <f t="shared" si="15"/>
        <v>50.251408600432171</v>
      </c>
      <c r="AM32" s="143">
        <f t="shared" si="15"/>
        <v>42.196828700240125</v>
      </c>
      <c r="AN32" s="143">
        <f t="shared" si="15"/>
        <v>37.472301743441633</v>
      </c>
      <c r="AO32" s="143">
        <f t="shared" si="15"/>
        <v>34.932466147748364</v>
      </c>
      <c r="AP32" s="143">
        <f t="shared" si="15"/>
        <v>33.690680884948847</v>
      </c>
      <c r="AQ32" s="140">
        <f t="shared" si="16"/>
        <v>5.3424908677137086</v>
      </c>
      <c r="AT32">
        <f t="shared" si="17"/>
        <v>1.8130187479582106E-3</v>
      </c>
      <c r="AU32">
        <f t="shared" si="18"/>
        <v>4.1401667630987508E-2</v>
      </c>
      <c r="AV32">
        <f t="shared" si="19"/>
        <v>3.2461212509874104E-2</v>
      </c>
      <c r="AW32">
        <f t="shared" si="20"/>
        <v>4.6592043389321672E-2</v>
      </c>
      <c r="AX32">
        <f t="shared" si="21"/>
        <v>1.4656131419400099E-2</v>
      </c>
      <c r="AY32">
        <f t="shared" si="22"/>
        <v>6.0194340743740936E-2</v>
      </c>
      <c r="AZ32">
        <f t="shared" si="23"/>
        <v>0.10238611571495156</v>
      </c>
      <c r="BA32">
        <f t="shared" si="24"/>
        <v>0.10417638672145267</v>
      </c>
      <c r="BB32">
        <f t="shared" si="25"/>
        <v>8.1208149717297173E-2</v>
      </c>
      <c r="BC32">
        <f t="shared" si="26"/>
        <v>4.9360020176386875E-2</v>
      </c>
    </row>
    <row r="33" spans="1:55" x14ac:dyDescent="0.35">
      <c r="A33" s="73" t="s">
        <v>48</v>
      </c>
      <c r="B33" s="73">
        <v>1</v>
      </c>
      <c r="C33" s="72" t="s">
        <v>94</v>
      </c>
      <c r="D33" s="73">
        <v>29</v>
      </c>
      <c r="E33" s="74">
        <v>306.14699999999999</v>
      </c>
      <c r="F33" s="75">
        <v>37.619999999999997</v>
      </c>
      <c r="G33" s="76">
        <v>100</v>
      </c>
      <c r="H33" s="73">
        <v>92.89</v>
      </c>
      <c r="I33" s="73">
        <v>87.94</v>
      </c>
      <c r="J33" s="73">
        <v>76.66</v>
      </c>
      <c r="K33" s="73">
        <v>66.34</v>
      </c>
      <c r="L33" s="73">
        <v>57.73</v>
      </c>
      <c r="M33" s="19">
        <v>50.29</v>
      </c>
      <c r="N33" s="73">
        <v>44.71</v>
      </c>
      <c r="O33" s="19">
        <v>39.94</v>
      </c>
      <c r="P33" s="19">
        <v>36.61</v>
      </c>
      <c r="Q33" s="19"/>
      <c r="R33" s="21">
        <f t="shared" si="3"/>
        <v>0</v>
      </c>
      <c r="S33" s="21">
        <f t="shared" si="4"/>
        <v>0.12633262260127931</v>
      </c>
      <c r="T33" s="21">
        <f t="shared" si="5"/>
        <v>0.23495032144944483</v>
      </c>
      <c r="U33" s="21">
        <f t="shared" si="6"/>
        <v>0.58277153558052452</v>
      </c>
      <c r="V33" s="21">
        <f t="shared" si="7"/>
        <v>1.1321897073662963</v>
      </c>
      <c r="W33" s="21">
        <f t="shared" si="8"/>
        <v>2.001420454545455</v>
      </c>
      <c r="X33" s="21">
        <f t="shared" si="9"/>
        <v>3.6337719298245617</v>
      </c>
      <c r="Y33" s="21">
        <f t="shared" si="10"/>
        <v>6.8259259259259251</v>
      </c>
      <c r="Z33" s="21">
        <f t="shared" si="11"/>
        <v>18.036036036036045</v>
      </c>
      <c r="AA33" s="23">
        <f t="shared" si="12"/>
        <v>0.78446938196920946</v>
      </c>
      <c r="AB33" s="23" cm="1">
        <f t="array" ref="AB33">EXP(INDEX(LINEST(LN($H$2:$O$2),LN(S33:Z33)),1,2))</f>
        <v>7.9741493129575139E-2</v>
      </c>
      <c r="AC33" s="145">
        <v>0.71</v>
      </c>
      <c r="AD33" s="145">
        <f t="shared" si="13"/>
        <v>7.1092361893522499E-2</v>
      </c>
      <c r="AE33" s="145">
        <f t="shared" si="14"/>
        <v>34.430324684822345</v>
      </c>
      <c r="AG33" s="143">
        <f t="shared" si="15"/>
        <v>99.838774945930211</v>
      </c>
      <c r="AH33" s="143">
        <f t="shared" si="15"/>
        <v>92.850067377991351</v>
      </c>
      <c r="AI33" s="143">
        <f t="shared" si="15"/>
        <v>86.646159141877206</v>
      </c>
      <c r="AJ33" s="143">
        <f t="shared" si="15"/>
        <v>76.508075556121781</v>
      </c>
      <c r="AK33" s="143">
        <f t="shared" si="15"/>
        <v>64.211347380556958</v>
      </c>
      <c r="AL33" s="143">
        <f t="shared" si="15"/>
        <v>52.791206191150721</v>
      </c>
      <c r="AM33" s="143">
        <f t="shared" si="15"/>
        <v>44.543002913522393</v>
      </c>
      <c r="AN33" s="143">
        <f t="shared" si="15"/>
        <v>39.619713028022545</v>
      </c>
      <c r="AO33" s="143">
        <f t="shared" si="15"/>
        <v>36.946440338260714</v>
      </c>
      <c r="AP33" s="143">
        <f t="shared" si="15"/>
        <v>35.632568395798899</v>
      </c>
      <c r="AQ33" s="140">
        <f t="shared" si="16"/>
        <v>4.6615182431964923</v>
      </c>
      <c r="AT33">
        <f t="shared" si="17"/>
        <v>1.612250540697886E-3</v>
      </c>
      <c r="AU33">
        <f t="shared" si="18"/>
        <v>4.2989150617557683E-4</v>
      </c>
      <c r="AV33">
        <f t="shared" si="19"/>
        <v>1.4712768457161608E-2</v>
      </c>
      <c r="AW33">
        <f t="shared" si="20"/>
        <v>1.9817955110646391E-3</v>
      </c>
      <c r="AX33">
        <f t="shared" si="21"/>
        <v>3.208701566842094E-2</v>
      </c>
      <c r="AY33">
        <f t="shared" si="22"/>
        <v>8.5549866773761932E-2</v>
      </c>
      <c r="AZ33">
        <f t="shared" si="23"/>
        <v>0.11427713435032026</v>
      </c>
      <c r="BA33">
        <f t="shared" si="24"/>
        <v>0.11385119597355078</v>
      </c>
      <c r="BB33">
        <f t="shared" si="25"/>
        <v>7.4951418671489314E-2</v>
      </c>
      <c r="BC33">
        <f t="shared" si="26"/>
        <v>2.6698486867006307E-2</v>
      </c>
    </row>
    <row r="34" spans="1:55" x14ac:dyDescent="0.35">
      <c r="A34" s="73" t="s">
        <v>48</v>
      </c>
      <c r="B34" s="73">
        <v>1</v>
      </c>
      <c r="C34" s="72" t="s">
        <v>94</v>
      </c>
      <c r="D34" s="73">
        <v>30</v>
      </c>
      <c r="E34" s="74">
        <v>40.808</v>
      </c>
      <c r="F34" s="75">
        <v>35.47</v>
      </c>
      <c r="G34" s="76">
        <v>100</v>
      </c>
      <c r="H34" s="73">
        <v>98.81</v>
      </c>
      <c r="I34" s="73">
        <v>97.81</v>
      </c>
      <c r="J34" s="73">
        <v>95.26</v>
      </c>
      <c r="K34" s="73">
        <v>89.91</v>
      </c>
      <c r="L34" s="73">
        <v>81.94</v>
      </c>
      <c r="M34" s="19">
        <v>73.97</v>
      </c>
      <c r="N34" s="73">
        <v>66.22</v>
      </c>
      <c r="O34" s="19">
        <v>61.08</v>
      </c>
      <c r="P34" s="19">
        <v>58.08</v>
      </c>
      <c r="Q34" s="19"/>
      <c r="R34" s="21">
        <f t="shared" si="3"/>
        <v>0</v>
      </c>
      <c r="S34" s="21">
        <f t="shared" si="4"/>
        <v>2.9216793518291127E-2</v>
      </c>
      <c r="T34" s="21">
        <f t="shared" si="5"/>
        <v>5.5122073999496542E-2</v>
      </c>
      <c r="U34" s="21">
        <f t="shared" si="6"/>
        <v>0.12748789671866578</v>
      </c>
      <c r="V34" s="21">
        <f t="shared" si="7"/>
        <v>0.31699654414074785</v>
      </c>
      <c r="W34" s="21">
        <f t="shared" si="8"/>
        <v>0.75691533948030187</v>
      </c>
      <c r="X34" s="21">
        <f t="shared" si="9"/>
        <v>1.6381371932032724</v>
      </c>
      <c r="Y34" s="21">
        <f t="shared" si="10"/>
        <v>4.1498771498771498</v>
      </c>
      <c r="Z34" s="21">
        <f t="shared" si="11"/>
        <v>12.973333333333334</v>
      </c>
      <c r="AA34" s="23">
        <f t="shared" si="12"/>
        <v>0.62158409352827737</v>
      </c>
      <c r="AB34" s="23" cm="1">
        <f t="array" ref="AB34">EXP(INDEX(LINEST(LN($H$2:$O$2),LN(S34:Z34)),1,2))</f>
        <v>0.16113343068515623</v>
      </c>
      <c r="AC34" s="145">
        <v>0.71</v>
      </c>
      <c r="AD34" s="145">
        <f t="shared" si="13"/>
        <v>0.13358440281859524</v>
      </c>
      <c r="AE34" s="145">
        <f t="shared" si="14"/>
        <v>53.026472518352868</v>
      </c>
      <c r="AG34" s="143">
        <f t="shared" si="15"/>
        <v>99.952423674535012</v>
      </c>
      <c r="AH34" s="143">
        <f t="shared" si="15"/>
        <v>97.748643219069024</v>
      </c>
      <c r="AI34" s="143">
        <f t="shared" si="15"/>
        <v>95.529063333573134</v>
      </c>
      <c r="AJ34" s="143">
        <f t="shared" si="15"/>
        <v>91.227551169426036</v>
      </c>
      <c r="AK34" s="143">
        <f t="shared" si="15"/>
        <v>84.461748212338932</v>
      </c>
      <c r="AL34" s="143">
        <f t="shared" si="15"/>
        <v>75.856102210459369</v>
      </c>
      <c r="AM34" s="143">
        <f t="shared" si="15"/>
        <v>67.454838041847239</v>
      </c>
      <c r="AN34" s="143">
        <f t="shared" si="15"/>
        <v>61.145177930540861</v>
      </c>
      <c r="AO34" s="143">
        <f t="shared" si="15"/>
        <v>57.180622733266759</v>
      </c>
      <c r="AP34" s="143">
        <f t="shared" si="15"/>
        <v>55.066865895485186</v>
      </c>
      <c r="AQ34" s="140">
        <f t="shared" si="16"/>
        <v>4.9214688813513119</v>
      </c>
      <c r="AT34">
        <f t="shared" si="17"/>
        <v>4.757632546498769E-4</v>
      </c>
      <c r="AU34">
        <f t="shared" si="18"/>
        <v>1.0741390354528675E-2</v>
      </c>
      <c r="AV34">
        <f t="shared" si="19"/>
        <v>2.3320076336027687E-2</v>
      </c>
      <c r="AW34">
        <f t="shared" si="20"/>
        <v>4.2330976596409498E-2</v>
      </c>
      <c r="AX34">
        <f t="shared" si="21"/>
        <v>6.0596727701713544E-2</v>
      </c>
      <c r="AY34">
        <f t="shared" si="22"/>
        <v>7.4248203435936411E-2</v>
      </c>
      <c r="AZ34">
        <f t="shared" si="23"/>
        <v>8.8078436638539412E-2</v>
      </c>
      <c r="BA34">
        <f t="shared" si="24"/>
        <v>7.6635790840518553E-2</v>
      </c>
      <c r="BB34">
        <f t="shared" si="25"/>
        <v>6.3840492251690237E-2</v>
      </c>
      <c r="BC34">
        <f t="shared" si="26"/>
        <v>5.1879030725117285E-2</v>
      </c>
    </row>
    <row r="35" spans="1:55" x14ac:dyDescent="0.35">
      <c r="A35" s="73" t="s">
        <v>48</v>
      </c>
      <c r="B35" s="73">
        <v>1</v>
      </c>
      <c r="C35" s="72" t="s">
        <v>94</v>
      </c>
      <c r="D35" s="73">
        <v>31</v>
      </c>
      <c r="E35" s="74">
        <v>169.387</v>
      </c>
      <c r="F35" s="75">
        <v>35.67</v>
      </c>
      <c r="G35" s="76">
        <v>100</v>
      </c>
      <c r="H35" s="73">
        <v>97.68</v>
      </c>
      <c r="I35" s="73">
        <v>94.07</v>
      </c>
      <c r="J35" s="73">
        <v>88.2</v>
      </c>
      <c r="K35" s="73">
        <v>79.36</v>
      </c>
      <c r="L35" s="73">
        <v>69.87</v>
      </c>
      <c r="M35" s="19">
        <v>60.38</v>
      </c>
      <c r="N35" s="73">
        <v>53.4</v>
      </c>
      <c r="O35" s="19">
        <v>47.29</v>
      </c>
      <c r="P35" s="19">
        <v>43.42</v>
      </c>
      <c r="Q35" s="19"/>
      <c r="R35" s="21">
        <f t="shared" si="3"/>
        <v>0</v>
      </c>
      <c r="S35" s="21">
        <f t="shared" si="4"/>
        <v>4.2757095466273369E-2</v>
      </c>
      <c r="T35" s="21">
        <f t="shared" si="5"/>
        <v>0.11707798617966451</v>
      </c>
      <c r="U35" s="21">
        <f t="shared" si="6"/>
        <v>0.26351049575703434</v>
      </c>
      <c r="V35" s="21">
        <f t="shared" si="7"/>
        <v>0.57429048414023376</v>
      </c>
      <c r="W35" s="21">
        <f t="shared" si="8"/>
        <v>1.1391304347826083</v>
      </c>
      <c r="X35" s="21">
        <f t="shared" si="9"/>
        <v>2.336084905660377</v>
      </c>
      <c r="Y35" s="21">
        <f t="shared" si="10"/>
        <v>4.6693386773547108</v>
      </c>
      <c r="Z35" s="21">
        <f t="shared" si="11"/>
        <v>13.6201550387597</v>
      </c>
      <c r="AA35" s="23">
        <f t="shared" si="12"/>
        <v>0.68544136324532956</v>
      </c>
      <c r="AB35" s="23" cm="1">
        <f t="array" ref="AB35">EXP(INDEX(LINEST(LN($H$2:$O$2),LN(S35:Z35)),1,2))</f>
        <v>0.12591994268215498</v>
      </c>
      <c r="AC35" s="145">
        <v>0.71</v>
      </c>
      <c r="AD35" s="145">
        <f t="shared" si="13"/>
        <v>8.5561732853606354E-2</v>
      </c>
      <c r="AE35" s="145">
        <f t="shared" si="14"/>
        <v>39.892187242878911</v>
      </c>
      <c r="AG35" s="143">
        <f t="shared" si="15"/>
        <v>99.886083523234291</v>
      </c>
      <c r="AH35" s="143">
        <f t="shared" si="15"/>
        <v>94.821246113529483</v>
      </c>
      <c r="AI35" s="143">
        <f t="shared" si="15"/>
        <v>90.107216623754098</v>
      </c>
      <c r="AJ35" s="143">
        <f t="shared" si="15"/>
        <v>81.923340179336478</v>
      </c>
      <c r="AK35" s="143">
        <f t="shared" si="15"/>
        <v>71.105112156911488</v>
      </c>
      <c r="AL35" s="143">
        <f t="shared" si="15"/>
        <v>60.058120205553514</v>
      </c>
      <c r="AM35" s="143">
        <f t="shared" si="15"/>
        <v>51.397268967090611</v>
      </c>
      <c r="AN35" s="143">
        <f t="shared" si="15"/>
        <v>45.925210905096492</v>
      </c>
      <c r="AO35" s="143">
        <f t="shared" si="15"/>
        <v>42.852498865553741</v>
      </c>
      <c r="AP35" s="143">
        <f t="shared" si="15"/>
        <v>41.315079606989578</v>
      </c>
      <c r="AQ35" s="140">
        <f t="shared" si="16"/>
        <v>8.19205642715343</v>
      </c>
      <c r="AT35">
        <f t="shared" si="17"/>
        <v>1.1391647676570926E-3</v>
      </c>
      <c r="AU35">
        <f t="shared" si="18"/>
        <v>2.9266522179264166E-2</v>
      </c>
      <c r="AV35">
        <f t="shared" si="19"/>
        <v>4.2125899609289835E-2</v>
      </c>
      <c r="AW35">
        <f t="shared" si="20"/>
        <v>7.1163943544937922E-2</v>
      </c>
      <c r="AX35">
        <f t="shared" si="21"/>
        <v>0.10401824399053064</v>
      </c>
      <c r="AY35">
        <f t="shared" si="22"/>
        <v>0.14043051086942163</v>
      </c>
      <c r="AZ35">
        <f t="shared" si="23"/>
        <v>0.14876997404619727</v>
      </c>
      <c r="BA35">
        <f t="shared" si="24"/>
        <v>0.13997732387459752</v>
      </c>
      <c r="BB35">
        <f t="shared" si="25"/>
        <v>9.3835930100364937E-2</v>
      </c>
      <c r="BC35">
        <f t="shared" si="26"/>
        <v>4.8478129733082083E-2</v>
      </c>
    </row>
    <row r="36" spans="1:55" x14ac:dyDescent="0.35">
      <c r="A36" s="73" t="s">
        <v>48</v>
      </c>
      <c r="B36" s="73">
        <v>1</v>
      </c>
      <c r="C36" s="72" t="s">
        <v>94</v>
      </c>
      <c r="D36" s="73">
        <v>32</v>
      </c>
      <c r="E36" s="74">
        <v>333.49700000000001</v>
      </c>
      <c r="F36" s="75">
        <v>37.26</v>
      </c>
      <c r="G36" s="76">
        <v>100</v>
      </c>
      <c r="H36" s="73">
        <v>89.17</v>
      </c>
      <c r="I36" s="73">
        <v>80.2</v>
      </c>
      <c r="J36" s="73">
        <v>68.45</v>
      </c>
      <c r="K36" s="73">
        <v>58.96</v>
      </c>
      <c r="L36" s="73">
        <v>52.01</v>
      </c>
      <c r="M36" s="19">
        <v>46.1</v>
      </c>
      <c r="N36" s="73">
        <v>41.17</v>
      </c>
      <c r="O36" s="19">
        <v>37.71</v>
      </c>
      <c r="P36" s="19">
        <v>35.020000000000003</v>
      </c>
      <c r="Q36" s="19"/>
      <c r="R36" s="21">
        <f t="shared" si="3"/>
        <v>0</v>
      </c>
      <c r="S36" s="21">
        <f t="shared" si="4"/>
        <v>0.19999999999999998</v>
      </c>
      <c r="T36" s="21">
        <f t="shared" si="5"/>
        <v>0.43824701195219118</v>
      </c>
      <c r="U36" s="21">
        <f t="shared" si="6"/>
        <v>0.94376308704756195</v>
      </c>
      <c r="V36" s="21">
        <f t="shared" si="7"/>
        <v>1.7142857142857144</v>
      </c>
      <c r="W36" s="21">
        <f t="shared" si="8"/>
        <v>2.8246027074749862</v>
      </c>
      <c r="X36" s="21">
        <f t="shared" si="9"/>
        <v>4.8646209386281596</v>
      </c>
      <c r="Y36" s="21">
        <f t="shared" si="10"/>
        <v>9.5658536585365876</v>
      </c>
      <c r="Z36" s="21">
        <f t="shared" si="11"/>
        <v>23.156133828996303</v>
      </c>
      <c r="AA36" s="23">
        <f t="shared" si="12"/>
        <v>0.83470382926806563</v>
      </c>
      <c r="AB36" s="23" cm="1">
        <f t="array" ref="AB36">EXP(INDEX(LINEST(LN($H$2:$O$2),LN(S36:Z36)),1,2))</f>
        <v>5.6068663727314477E-2</v>
      </c>
      <c r="AC36" s="145">
        <v>0.71</v>
      </c>
      <c r="AD36" s="145">
        <f t="shared" si="13"/>
        <v>6.9213571662198936E-2</v>
      </c>
      <c r="AE36" s="145">
        <f t="shared" si="14"/>
        <v>33.640698649365909</v>
      </c>
      <c r="AG36" s="143">
        <f t="shared" si="15"/>
        <v>99.830576790678705</v>
      </c>
      <c r="AH36" s="143">
        <f t="shared" si="15"/>
        <v>92.517156930685147</v>
      </c>
      <c r="AI36" s="143">
        <f t="shared" si="15"/>
        <v>86.074825030796589</v>
      </c>
      <c r="AJ36" s="143">
        <f t="shared" si="15"/>
        <v>75.646620081694223</v>
      </c>
      <c r="AK36" s="143">
        <f t="shared" si="15"/>
        <v>63.160949233956103</v>
      </c>
      <c r="AL36" s="143">
        <f t="shared" si="15"/>
        <v>51.722228953472275</v>
      </c>
      <c r="AM36" s="143">
        <f t="shared" si="15"/>
        <v>43.552874913014527</v>
      </c>
      <c r="AN36" s="143">
        <f t="shared" si="15"/>
        <v>38.713017949191823</v>
      </c>
      <c r="AO36" s="143">
        <f t="shared" si="15"/>
        <v>36.096335284450802</v>
      </c>
      <c r="AP36" s="143">
        <f t="shared" si="15"/>
        <v>34.813173462118399</v>
      </c>
      <c r="AQ36" s="140">
        <f t="shared" si="16"/>
        <v>4.5803243407504119</v>
      </c>
      <c r="AT36">
        <f t="shared" si="17"/>
        <v>1.6942320932129462E-3</v>
      </c>
      <c r="AU36">
        <f t="shared" si="18"/>
        <v>3.7536805323372717E-2</v>
      </c>
      <c r="AV36">
        <f t="shared" si="19"/>
        <v>7.3252182428885107E-2</v>
      </c>
      <c r="AW36">
        <f t="shared" si="20"/>
        <v>0.10513688943307846</v>
      </c>
      <c r="AX36">
        <f t="shared" si="21"/>
        <v>7.1250835039961019E-2</v>
      </c>
      <c r="AY36">
        <f t="shared" si="22"/>
        <v>5.5329945496582046E-3</v>
      </c>
      <c r="AZ36">
        <f t="shared" si="23"/>
        <v>5.5252171084283604E-2</v>
      </c>
      <c r="BA36">
        <f t="shared" si="24"/>
        <v>5.9678942210546003E-2</v>
      </c>
      <c r="BB36">
        <f t="shared" si="25"/>
        <v>4.2791427089610146E-2</v>
      </c>
      <c r="BC36">
        <f t="shared" si="26"/>
        <v>5.905954822432999E-3</v>
      </c>
    </row>
    <row r="37" spans="1:55" x14ac:dyDescent="0.35">
      <c r="A37" s="73" t="s">
        <v>48</v>
      </c>
      <c r="B37" s="73">
        <v>1</v>
      </c>
      <c r="C37" s="72" t="s">
        <v>94</v>
      </c>
      <c r="D37" s="73">
        <v>33</v>
      </c>
      <c r="E37" s="75">
        <v>20.532</v>
      </c>
      <c r="F37" s="75">
        <v>37.630000000000003</v>
      </c>
      <c r="G37" s="76">
        <v>100</v>
      </c>
      <c r="H37" s="73">
        <v>96.8</v>
      </c>
      <c r="I37" s="73">
        <v>96.17</v>
      </c>
      <c r="J37" s="73">
        <v>94.97</v>
      </c>
      <c r="K37" s="73">
        <v>92.94</v>
      </c>
      <c r="L37" s="73">
        <v>89.06</v>
      </c>
      <c r="M37" s="19">
        <v>81.849999999999994</v>
      </c>
      <c r="N37" s="73">
        <v>75.099999999999994</v>
      </c>
      <c r="O37" s="19">
        <v>69.510000000000005</v>
      </c>
      <c r="P37" s="19">
        <v>65.849999999999994</v>
      </c>
      <c r="Q37" s="19"/>
      <c r="R37" s="21">
        <f t="shared" si="3"/>
        <v>0</v>
      </c>
      <c r="S37" s="21">
        <f t="shared" si="4"/>
        <v>0.1033925686591277</v>
      </c>
      <c r="T37" s="21">
        <f t="shared" si="5"/>
        <v>0.12631926121372022</v>
      </c>
      <c r="U37" s="21">
        <f t="shared" si="6"/>
        <v>0.17273351648351651</v>
      </c>
      <c r="V37" s="21">
        <f t="shared" si="7"/>
        <v>0.26061277224067925</v>
      </c>
      <c r="W37" s="21">
        <f t="shared" si="8"/>
        <v>0.47134855665661329</v>
      </c>
      <c r="X37" s="21">
        <f t="shared" si="9"/>
        <v>1.1343750000000004</v>
      </c>
      <c r="Y37" s="21">
        <f t="shared" si="10"/>
        <v>2.6918918918918924</v>
      </c>
      <c r="Z37" s="21">
        <f t="shared" si="11"/>
        <v>8.3306010928961491</v>
      </c>
      <c r="AA37" s="23">
        <f t="shared" si="12"/>
        <v>0.81579969241969941</v>
      </c>
      <c r="AB37" s="23" cm="1">
        <f t="array" ref="AB37">EXP(INDEX(LINEST(LN($H$2:$O$2),LN(S37:Z37)),1,2))</f>
        <v>0.17502242658771186</v>
      </c>
      <c r="AC37" s="145">
        <v>0.71</v>
      </c>
      <c r="AD37" s="145">
        <f t="shared" si="13"/>
        <v>0.16562582421842592</v>
      </c>
      <c r="AE37" s="145">
        <f t="shared" si="14"/>
        <v>59.365125698726331</v>
      </c>
      <c r="AG37" s="143">
        <f t="shared" si="15"/>
        <v>99.969588257946739</v>
      </c>
      <c r="AH37" s="143">
        <f t="shared" si="15"/>
        <v>98.543024304512429</v>
      </c>
      <c r="AI37" s="143">
        <f t="shared" si="15"/>
        <v>97.069983033440522</v>
      </c>
      <c r="AJ37" s="143">
        <f t="shared" si="15"/>
        <v>94.106399714618334</v>
      </c>
      <c r="AK37" s="143">
        <f t="shared" si="15"/>
        <v>89.1309329902477</v>
      </c>
      <c r="AL37" s="143">
        <f t="shared" si="15"/>
        <v>82.177497657471989</v>
      </c>
      <c r="AM37" s="143">
        <f t="shared" si="15"/>
        <v>74.605171314412502</v>
      </c>
      <c r="AN37" s="143">
        <f t="shared" si="15"/>
        <v>68.324466833506648</v>
      </c>
      <c r="AO37" s="143">
        <f t="shared" si="15"/>
        <v>64.082095747938538</v>
      </c>
      <c r="AP37" s="143">
        <f t="shared" si="15"/>
        <v>61.718272397230734</v>
      </c>
      <c r="AQ37" s="140">
        <f t="shared" si="16"/>
        <v>4.7459203241242101</v>
      </c>
      <c r="AT37">
        <f t="shared" si="17"/>
        <v>3.0411742053260582E-4</v>
      </c>
      <c r="AU37">
        <f t="shared" si="18"/>
        <v>1.8006449426781316E-2</v>
      </c>
      <c r="AV37">
        <f t="shared" si="19"/>
        <v>9.3582513615526712E-3</v>
      </c>
      <c r="AW37">
        <f t="shared" si="20"/>
        <v>9.0934009200975569E-3</v>
      </c>
      <c r="AX37">
        <f t="shared" si="21"/>
        <v>4.0984151170134465E-2</v>
      </c>
      <c r="AY37">
        <f t="shared" si="22"/>
        <v>7.7279388530518897E-2</v>
      </c>
      <c r="AZ37">
        <f t="shared" si="23"/>
        <v>8.8513484246640114E-2</v>
      </c>
      <c r="BA37">
        <f t="shared" si="24"/>
        <v>9.0220148688326854E-2</v>
      </c>
      <c r="BB37">
        <f t="shared" si="25"/>
        <v>7.8088106057566775E-2</v>
      </c>
      <c r="BC37">
        <f t="shared" si="26"/>
        <v>6.2744534590269713E-2</v>
      </c>
    </row>
    <row r="38" spans="1:55" x14ac:dyDescent="0.35">
      <c r="A38" s="73" t="s">
        <v>48</v>
      </c>
      <c r="B38" s="73">
        <v>1</v>
      </c>
      <c r="C38" s="72" t="s">
        <v>94</v>
      </c>
      <c r="D38" s="73">
        <v>34</v>
      </c>
      <c r="E38" s="74">
        <v>202.16499999999999</v>
      </c>
      <c r="F38" s="75">
        <v>38.520000000000003</v>
      </c>
      <c r="G38" s="76">
        <v>100</v>
      </c>
      <c r="H38" s="73">
        <v>93.71</v>
      </c>
      <c r="I38" s="73">
        <v>89.79</v>
      </c>
      <c r="J38" s="73">
        <v>80.09</v>
      </c>
      <c r="K38" s="73">
        <v>68.260000000000005</v>
      </c>
      <c r="L38" s="73">
        <v>58.16</v>
      </c>
      <c r="M38" s="19">
        <v>50.36</v>
      </c>
      <c r="N38" s="73">
        <v>44</v>
      </c>
      <c r="O38" s="19">
        <v>39.11</v>
      </c>
      <c r="P38" s="19">
        <v>35.83</v>
      </c>
      <c r="Q38" s="19"/>
      <c r="R38" s="21">
        <f t="shared" si="3"/>
        <v>0</v>
      </c>
      <c r="S38" s="21">
        <f t="shared" si="4"/>
        <v>0.10867311679336571</v>
      </c>
      <c r="T38" s="21">
        <f t="shared" si="5"/>
        <v>0.18921423276501098</v>
      </c>
      <c r="U38" s="21">
        <f t="shared" si="6"/>
        <v>0.44984184365115215</v>
      </c>
      <c r="V38" s="21">
        <f t="shared" si="7"/>
        <v>0.97872340425531879</v>
      </c>
      <c r="W38" s="21">
        <f t="shared" si="8"/>
        <v>1.8737124944021499</v>
      </c>
      <c r="X38" s="21">
        <f t="shared" si="9"/>
        <v>3.4163799036476252</v>
      </c>
      <c r="Y38" s="21">
        <f t="shared" si="10"/>
        <v>6.8543451652386764</v>
      </c>
      <c r="Z38" s="21">
        <f t="shared" si="11"/>
        <v>18.564024390243897</v>
      </c>
      <c r="AA38" s="23">
        <f t="shared" si="12"/>
        <v>0.74612558381071237</v>
      </c>
      <c r="AB38" s="23" cm="1">
        <f t="array" ref="AB38">EXP(INDEX(LINEST(LN($H$2:$O$2),LN(S38:Z38)),1,2))</f>
        <v>8.7646259144976674E-2</v>
      </c>
      <c r="AC38" s="145">
        <v>0.71</v>
      </c>
      <c r="AD38" s="145">
        <f t="shared" si="13"/>
        <v>8.0953022208650638E-2</v>
      </c>
      <c r="AE38" s="145">
        <f t="shared" si="14"/>
        <v>38.259771042459398</v>
      </c>
      <c r="AG38" s="143">
        <f t="shared" ref="AG38:AP63" si="27">($AE38*AG$3^(1/$AC38)+100*$AD38^(1/$AC38))/(AG$3^(1/$AC38)+$AD38^(1/$AC38))</f>
        <v>99.873518962147983</v>
      </c>
      <c r="AH38" s="143">
        <f t="shared" si="27"/>
        <v>94.289072597626884</v>
      </c>
      <c r="AI38" s="143">
        <f t="shared" si="27"/>
        <v>89.159103844330332</v>
      </c>
      <c r="AJ38" s="143">
        <f t="shared" si="27"/>
        <v>80.404434876860478</v>
      </c>
      <c r="AK38" s="143">
        <f t="shared" si="27"/>
        <v>69.117273537053507</v>
      </c>
      <c r="AL38" s="143">
        <f t="shared" si="27"/>
        <v>57.914096931932349</v>
      </c>
      <c r="AM38" s="143">
        <f t="shared" si="27"/>
        <v>49.349992782485792</v>
      </c>
      <c r="AN38" s="143">
        <f t="shared" si="27"/>
        <v>44.035231195421723</v>
      </c>
      <c r="AO38" s="143">
        <f t="shared" si="27"/>
        <v>41.082791532236818</v>
      </c>
      <c r="AP38" s="143">
        <f t="shared" si="27"/>
        <v>39.614065203782729</v>
      </c>
      <c r="AQ38" s="140">
        <f t="shared" si="16"/>
        <v>2.1209380295176401</v>
      </c>
      <c r="AT38">
        <f t="shared" si="17"/>
        <v>1.2648103785201669E-3</v>
      </c>
      <c r="AU38">
        <f t="shared" si="18"/>
        <v>6.1794109233474582E-3</v>
      </c>
      <c r="AV38">
        <f t="shared" si="19"/>
        <v>7.0263521068011396E-3</v>
      </c>
      <c r="AW38">
        <f t="shared" si="20"/>
        <v>3.9260191891681145E-3</v>
      </c>
      <c r="AX38">
        <f t="shared" si="21"/>
        <v>1.2558944287335208E-2</v>
      </c>
      <c r="AY38">
        <f t="shared" si="22"/>
        <v>4.228044499099858E-3</v>
      </c>
      <c r="AZ38">
        <f t="shared" si="23"/>
        <v>2.0055743000679256E-2</v>
      </c>
      <c r="BA38">
        <f t="shared" si="24"/>
        <v>8.0070898685733675E-4</v>
      </c>
      <c r="BB38">
        <f t="shared" si="25"/>
        <v>5.0442125600532323E-2</v>
      </c>
      <c r="BC38">
        <f t="shared" si="26"/>
        <v>0.10561164397942314</v>
      </c>
    </row>
    <row r="39" spans="1:55" s="52" customFormat="1" x14ac:dyDescent="0.35">
      <c r="A39" s="153" t="s">
        <v>48</v>
      </c>
      <c r="B39" s="153">
        <v>1</v>
      </c>
      <c r="C39" s="154" t="s">
        <v>94</v>
      </c>
      <c r="D39" s="153">
        <v>35</v>
      </c>
      <c r="E39" s="155">
        <v>252.63300000000001</v>
      </c>
      <c r="F39" s="156">
        <v>38.630000000000003</v>
      </c>
      <c r="G39" s="157">
        <v>100</v>
      </c>
      <c r="H39" s="153">
        <v>91.85</v>
      </c>
      <c r="I39" s="153">
        <v>87.83</v>
      </c>
      <c r="J39" s="153">
        <v>78.7</v>
      </c>
      <c r="K39" s="153">
        <v>67.319999999999993</v>
      </c>
      <c r="L39" s="153">
        <v>58.35</v>
      </c>
      <c r="M39" s="162">
        <v>50.86</v>
      </c>
      <c r="N39" s="153">
        <v>44.93</v>
      </c>
      <c r="O39" s="162">
        <v>40.14</v>
      </c>
      <c r="P39" s="162">
        <v>36.97</v>
      </c>
      <c r="Q39" s="162"/>
      <c r="R39" s="23">
        <f t="shared" si="3"/>
        <v>0</v>
      </c>
      <c r="S39" s="23">
        <f t="shared" si="4"/>
        <v>0.14850583090379021</v>
      </c>
      <c r="T39" s="23">
        <f t="shared" si="5"/>
        <v>0.23928430987023205</v>
      </c>
      <c r="U39" s="23">
        <f t="shared" si="6"/>
        <v>0.51042415528396823</v>
      </c>
      <c r="V39" s="23">
        <f t="shared" si="7"/>
        <v>1.0767710049423398</v>
      </c>
      <c r="W39" s="23">
        <f t="shared" si="8"/>
        <v>1.9480823199251633</v>
      </c>
      <c r="X39" s="23">
        <f t="shared" si="9"/>
        <v>3.5377969762419004</v>
      </c>
      <c r="Y39" s="23">
        <f t="shared" si="10"/>
        <v>6.9183417085427132</v>
      </c>
      <c r="Z39" s="23">
        <f t="shared" si="11"/>
        <v>18.883280757097783</v>
      </c>
      <c r="AA39" s="23">
        <f t="shared" si="12"/>
        <v>0.79097598395260216</v>
      </c>
      <c r="AB39" s="23" cm="1">
        <f t="array" ref="AB39">EXP(INDEX(LINEST(LN($H$2:$O$2),LN(S39:Z39)),1,2))</f>
        <v>7.9533779549180061E-2</v>
      </c>
      <c r="AC39" s="52">
        <v>0.71</v>
      </c>
      <c r="AD39" s="52">
        <f t="shared" si="13"/>
        <v>7.5498729036703446E-2</v>
      </c>
      <c r="AE39" s="52">
        <f t="shared" si="14"/>
        <v>36.203277587437768</v>
      </c>
      <c r="AG39" s="160">
        <f t="shared" si="27"/>
        <v>99.855844733177364</v>
      </c>
      <c r="AH39" s="160">
        <f t="shared" si="27"/>
        <v>93.551239923583253</v>
      </c>
      <c r="AI39" s="160">
        <f t="shared" si="27"/>
        <v>87.861628382334018</v>
      </c>
      <c r="AJ39" s="160">
        <f t="shared" si="27"/>
        <v>78.370154005388542</v>
      </c>
      <c r="AK39" s="160">
        <f t="shared" si="27"/>
        <v>66.522987251120483</v>
      </c>
      <c r="AL39" s="160">
        <f t="shared" si="27"/>
        <v>55.177094626381525</v>
      </c>
      <c r="AM39" s="160">
        <f t="shared" si="27"/>
        <v>46.76817483874737</v>
      </c>
      <c r="AN39" s="160">
        <f t="shared" si="27"/>
        <v>41.660455519136804</v>
      </c>
      <c r="AO39" s="160">
        <f t="shared" si="27"/>
        <v>38.85873588235156</v>
      </c>
      <c r="AP39" s="160">
        <f t="shared" si="27"/>
        <v>37.474345230760029</v>
      </c>
      <c r="AQ39" s="161">
        <f t="shared" si="16"/>
        <v>2.8951542965204835</v>
      </c>
      <c r="AT39" s="52">
        <f t="shared" si="17"/>
        <v>1.4415526682263647E-3</v>
      </c>
      <c r="AU39" s="52">
        <f t="shared" si="18"/>
        <v>1.8521937110323995E-2</v>
      </c>
      <c r="AV39" s="52">
        <f t="shared" si="19"/>
        <v>3.6010910092246375E-4</v>
      </c>
      <c r="AW39" s="52">
        <f t="shared" si="20"/>
        <v>4.1911816341989889E-3</v>
      </c>
      <c r="AX39" s="52">
        <f t="shared" si="21"/>
        <v>1.1839167392743762E-2</v>
      </c>
      <c r="AY39" s="52">
        <f t="shared" si="22"/>
        <v>5.4377127225680832E-2</v>
      </c>
      <c r="AZ39" s="52">
        <f t="shared" si="23"/>
        <v>8.0452716501231397E-2</v>
      </c>
      <c r="BA39" s="52">
        <f t="shared" si="24"/>
        <v>7.2769741394684978E-2</v>
      </c>
      <c r="BB39" s="52">
        <f t="shared" si="25"/>
        <v>3.1919883349487803E-2</v>
      </c>
      <c r="BC39" s="52">
        <f t="shared" si="26"/>
        <v>1.3642013274547754E-2</v>
      </c>
    </row>
    <row r="40" spans="1:55" x14ac:dyDescent="0.35">
      <c r="A40" s="73" t="s">
        <v>48</v>
      </c>
      <c r="B40" s="73">
        <v>1</v>
      </c>
      <c r="C40" s="72" t="s">
        <v>94</v>
      </c>
      <c r="D40" s="73">
        <v>36</v>
      </c>
      <c r="E40" s="74">
        <v>108.1237</v>
      </c>
      <c r="F40" s="75">
        <v>39.229999999999997</v>
      </c>
      <c r="G40" s="76">
        <v>100</v>
      </c>
      <c r="H40" s="73">
        <v>96.16</v>
      </c>
      <c r="I40" s="73">
        <v>94.52</v>
      </c>
      <c r="J40" s="73">
        <v>90.85</v>
      </c>
      <c r="K40" s="73">
        <v>82.73</v>
      </c>
      <c r="L40" s="73">
        <v>70.83</v>
      </c>
      <c r="M40" s="19">
        <v>61.45</v>
      </c>
      <c r="N40" s="73">
        <v>54.04</v>
      </c>
      <c r="O40" s="19">
        <v>48.1</v>
      </c>
      <c r="P40" s="19">
        <v>44.24</v>
      </c>
      <c r="Q40" s="19"/>
      <c r="R40" s="21">
        <f t="shared" si="3"/>
        <v>0</v>
      </c>
      <c r="S40" s="21">
        <f t="shared" si="4"/>
        <v>7.3959938366718103E-2</v>
      </c>
      <c r="T40" s="21">
        <f t="shared" si="5"/>
        <v>0.10898965791567233</v>
      </c>
      <c r="U40" s="21">
        <f t="shared" si="6"/>
        <v>0.19630980476292656</v>
      </c>
      <c r="V40" s="21">
        <f t="shared" si="7"/>
        <v>0.44868797090153273</v>
      </c>
      <c r="W40" s="21">
        <f t="shared" si="8"/>
        <v>1.0970289582549833</v>
      </c>
      <c r="X40" s="21">
        <f t="shared" si="9"/>
        <v>2.2399767576990119</v>
      </c>
      <c r="Y40" s="21">
        <f t="shared" si="10"/>
        <v>4.6897959183673485</v>
      </c>
      <c r="Z40" s="21">
        <f t="shared" si="11"/>
        <v>13.445595854922281</v>
      </c>
      <c r="AA40" s="23">
        <f t="shared" si="12"/>
        <v>0.70907902726292038</v>
      </c>
      <c r="AB40" s="23" cm="1">
        <f t="array" ref="AB40">EXP(INDEX(LINEST(LN($H$2:$O$2),LN(S40:Z40)),1,2))</f>
        <v>0.12841626728987943</v>
      </c>
      <c r="AC40" s="145">
        <v>0.71</v>
      </c>
      <c r="AD40" s="145">
        <f t="shared" si="13"/>
        <v>9.8469513934348871E-2</v>
      </c>
      <c r="AE40" s="145">
        <f t="shared" si="14"/>
        <v>44.034729606685282</v>
      </c>
      <c r="AG40" s="143">
        <f t="shared" si="27"/>
        <v>99.912948704138913</v>
      </c>
      <c r="AH40" s="143">
        <f t="shared" si="27"/>
        <v>95.981749909421666</v>
      </c>
      <c r="AI40" s="143">
        <f t="shared" si="27"/>
        <v>92.212706476499264</v>
      </c>
      <c r="AJ40" s="143">
        <f t="shared" si="27"/>
        <v>85.402904467350439</v>
      </c>
      <c r="AK40" s="143">
        <f t="shared" si="27"/>
        <v>75.841836331557658</v>
      </c>
      <c r="AL40" s="143">
        <f t="shared" si="27"/>
        <v>65.354527999907177</v>
      </c>
      <c r="AM40" s="143">
        <f t="shared" si="27"/>
        <v>56.566236316784661</v>
      </c>
      <c r="AN40" s="143">
        <f t="shared" si="27"/>
        <v>50.734092097993994</v>
      </c>
      <c r="AO40" s="143">
        <f t="shared" si="27"/>
        <v>47.358386394985665</v>
      </c>
      <c r="AP40" s="143">
        <f t="shared" si="27"/>
        <v>45.64116211771821</v>
      </c>
      <c r="AQ40" s="140">
        <f t="shared" si="16"/>
        <v>4.3539765529923935</v>
      </c>
      <c r="AT40">
        <f t="shared" si="17"/>
        <v>8.7051295861087399E-4</v>
      </c>
      <c r="AU40">
        <f t="shared" si="18"/>
        <v>1.8536823063470347E-3</v>
      </c>
      <c r="AV40">
        <f t="shared" si="19"/>
        <v>2.4410638208852437E-2</v>
      </c>
      <c r="AW40">
        <f t="shared" si="20"/>
        <v>5.9957022924045748E-2</v>
      </c>
      <c r="AX40">
        <f t="shared" si="21"/>
        <v>8.3260772010665354E-2</v>
      </c>
      <c r="AY40">
        <f t="shared" si="22"/>
        <v>7.7304419032794322E-2</v>
      </c>
      <c r="AZ40">
        <f t="shared" si="23"/>
        <v>7.9475405748012068E-2</v>
      </c>
      <c r="BA40">
        <f t="shared" si="24"/>
        <v>6.1175201739563388E-2</v>
      </c>
      <c r="BB40">
        <f t="shared" si="25"/>
        <v>1.5418162266410322E-2</v>
      </c>
      <c r="BC40">
        <f t="shared" si="26"/>
        <v>3.167183810393779E-2</v>
      </c>
    </row>
    <row r="41" spans="1:55" x14ac:dyDescent="0.35">
      <c r="A41" s="73" t="s">
        <v>48</v>
      </c>
      <c r="B41" s="73">
        <v>1</v>
      </c>
      <c r="C41" s="72" t="s">
        <v>94</v>
      </c>
      <c r="D41" s="73">
        <v>37</v>
      </c>
      <c r="E41" s="74">
        <v>76.37</v>
      </c>
      <c r="F41" s="75">
        <v>37.840000000000003</v>
      </c>
      <c r="G41" s="76">
        <v>100</v>
      </c>
      <c r="H41" s="73">
        <v>96.01</v>
      </c>
      <c r="I41" s="73">
        <v>94.26</v>
      </c>
      <c r="J41" s="73">
        <v>91.09</v>
      </c>
      <c r="K41" s="73">
        <v>83.94</v>
      </c>
      <c r="L41" s="73">
        <v>71.69</v>
      </c>
      <c r="M41" s="19">
        <v>59.8</v>
      </c>
      <c r="N41" s="73">
        <v>51</v>
      </c>
      <c r="O41" s="19">
        <v>45</v>
      </c>
      <c r="P41" s="19">
        <v>41.44</v>
      </c>
      <c r="Q41" s="19"/>
      <c r="R41" s="21">
        <f t="shared" si="3"/>
        <v>0</v>
      </c>
      <c r="S41" s="21">
        <f t="shared" si="4"/>
        <v>7.3117097306212103E-2</v>
      </c>
      <c r="T41" s="21">
        <f t="shared" si="5"/>
        <v>0.10867095797046562</v>
      </c>
      <c r="U41" s="21">
        <f t="shared" si="6"/>
        <v>0.17945619335347424</v>
      </c>
      <c r="V41" s="21">
        <f t="shared" si="7"/>
        <v>0.3778823529411765</v>
      </c>
      <c r="W41" s="21">
        <f t="shared" si="8"/>
        <v>0.93586776859504139</v>
      </c>
      <c r="X41" s="21">
        <f t="shared" si="9"/>
        <v>2.1895424836601309</v>
      </c>
      <c r="Y41" s="21">
        <f t="shared" si="10"/>
        <v>5.1255230125522999</v>
      </c>
      <c r="Z41" s="21">
        <f t="shared" si="11"/>
        <v>15.449438202247181</v>
      </c>
      <c r="AA41" s="23">
        <f t="shared" si="12"/>
        <v>0.68498566368093694</v>
      </c>
      <c r="AB41" s="23" cm="1">
        <f t="array" ref="AB41">EXP(INDEX(LINEST(LN($H$2:$O$2),LN(S41:Z41)),1,2))</f>
        <v>0.13010028201692811</v>
      </c>
      <c r="AC41" s="145">
        <v>0.71</v>
      </c>
      <c r="AD41" s="145">
        <f t="shared" si="13"/>
        <v>0.10979035821014481</v>
      </c>
      <c r="AE41" s="145">
        <f t="shared" si="14"/>
        <v>47.243175951548089</v>
      </c>
      <c r="AG41" s="143">
        <f t="shared" si="27"/>
        <v>99.929585108756555</v>
      </c>
      <c r="AH41" s="143">
        <f t="shared" si="27"/>
        <v>96.716899706521914</v>
      </c>
      <c r="AI41" s="143">
        <f t="shared" si="27"/>
        <v>93.575292575147088</v>
      </c>
      <c r="AJ41" s="143">
        <f t="shared" si="27"/>
        <v>87.74078413366496</v>
      </c>
      <c r="AK41" s="143">
        <f t="shared" si="27"/>
        <v>79.18626869119727</v>
      </c>
      <c r="AL41" s="143">
        <f t="shared" si="27"/>
        <v>69.279278773689398</v>
      </c>
      <c r="AM41" s="143">
        <f t="shared" si="27"/>
        <v>60.520584363273372</v>
      </c>
      <c r="AN41" s="143">
        <f t="shared" si="27"/>
        <v>54.461444118441825</v>
      </c>
      <c r="AO41" s="143">
        <f t="shared" si="27"/>
        <v>50.859701516525071</v>
      </c>
      <c r="AP41" s="143">
        <f t="shared" si="27"/>
        <v>49.000003915851984</v>
      </c>
      <c r="AQ41" s="140">
        <f t="shared" si="16"/>
        <v>5.3492814457412514</v>
      </c>
      <c r="AT41">
        <f t="shared" si="17"/>
        <v>7.0414891243444802E-4</v>
      </c>
      <c r="AU41">
        <f t="shared" si="18"/>
        <v>7.3627716542225743E-3</v>
      </c>
      <c r="AV41">
        <f t="shared" si="19"/>
        <v>7.2640295443763712E-3</v>
      </c>
      <c r="AW41">
        <f t="shared" si="20"/>
        <v>3.6768205800143193E-2</v>
      </c>
      <c r="AX41">
        <f t="shared" si="21"/>
        <v>5.6632491169915748E-2</v>
      </c>
      <c r="AY41">
        <f t="shared" si="22"/>
        <v>3.3627022266851714E-2</v>
      </c>
      <c r="AZ41">
        <f t="shared" si="23"/>
        <v>1.2049905740357435E-2</v>
      </c>
      <c r="BA41">
        <f t="shared" si="24"/>
        <v>6.7871453302780896E-2</v>
      </c>
      <c r="BB41">
        <f t="shared" si="25"/>
        <v>0.13021558925611268</v>
      </c>
      <c r="BC41">
        <f t="shared" si="26"/>
        <v>0.18243252692693018</v>
      </c>
    </row>
    <row r="42" spans="1:55" x14ac:dyDescent="0.35">
      <c r="A42" s="73" t="s">
        <v>48</v>
      </c>
      <c r="B42" s="73">
        <v>1</v>
      </c>
      <c r="C42" s="72" t="s">
        <v>94</v>
      </c>
      <c r="D42" s="73">
        <v>38</v>
      </c>
      <c r="E42" s="74">
        <v>51.557600000000001</v>
      </c>
      <c r="F42" s="75">
        <v>36.159999999999997</v>
      </c>
      <c r="G42" s="76">
        <v>100</v>
      </c>
      <c r="H42" s="73">
        <v>98.92</v>
      </c>
      <c r="I42" s="73">
        <v>97.92</v>
      </c>
      <c r="J42" s="73">
        <v>95.91</v>
      </c>
      <c r="K42" s="73">
        <v>91.86</v>
      </c>
      <c r="L42" s="73">
        <v>83.34</v>
      </c>
      <c r="M42" s="19">
        <v>74.81</v>
      </c>
      <c r="N42" s="73">
        <v>67.12</v>
      </c>
      <c r="O42" s="19">
        <v>62.05</v>
      </c>
      <c r="P42" s="19">
        <v>59.05</v>
      </c>
      <c r="Q42" s="19"/>
      <c r="R42" s="21">
        <f t="shared" si="3"/>
        <v>0</v>
      </c>
      <c r="S42" s="21">
        <f t="shared" si="4"/>
        <v>2.7088036117381444E-2</v>
      </c>
      <c r="T42" s="21">
        <f t="shared" si="5"/>
        <v>5.351170568561868E-2</v>
      </c>
      <c r="U42" s="21">
        <f t="shared" si="6"/>
        <v>0.11096039066739022</v>
      </c>
      <c r="V42" s="21">
        <f t="shared" si="7"/>
        <v>0.24809509295946358</v>
      </c>
      <c r="W42" s="21">
        <f t="shared" si="8"/>
        <v>0.68587896253602276</v>
      </c>
      <c r="X42" s="21">
        <f t="shared" si="9"/>
        <v>1.5983502538071059</v>
      </c>
      <c r="Y42" s="21">
        <f t="shared" si="10"/>
        <v>4.0743494423791775</v>
      </c>
      <c r="Z42" s="21">
        <f t="shared" si="11"/>
        <v>12.65</v>
      </c>
      <c r="AA42" s="23">
        <f t="shared" si="12"/>
        <v>0.61289769281262685</v>
      </c>
      <c r="AB42" s="23" cm="1">
        <f t="array" ref="AB42">EXP(INDEX(LINEST(LN($H$2:$O$2),LN(S42:Z42)),1,2))</f>
        <v>0.1684405489659391</v>
      </c>
      <c r="AC42" s="145">
        <v>0.71</v>
      </c>
      <c r="AD42" s="145">
        <f t="shared" si="13"/>
        <v>0.12415706073717504</v>
      </c>
      <c r="AE42" s="145">
        <f t="shared" si="14"/>
        <v>50.868767821039185</v>
      </c>
      <c r="AG42" s="143">
        <f t="shared" si="27"/>
        <v>99.944841266869417</v>
      </c>
      <c r="AH42" s="143">
        <f t="shared" si="27"/>
        <v>97.403063911987644</v>
      </c>
      <c r="AI42" s="143">
        <f t="shared" si="27"/>
        <v>94.868971111727916</v>
      </c>
      <c r="AJ42" s="143">
        <f t="shared" si="27"/>
        <v>90.030492754377377</v>
      </c>
      <c r="AK42" s="143">
        <f t="shared" si="27"/>
        <v>82.60804052546878</v>
      </c>
      <c r="AL42" s="143">
        <f t="shared" si="27"/>
        <v>73.484893141352813</v>
      </c>
      <c r="AM42" s="143">
        <f t="shared" si="27"/>
        <v>64.904047465108619</v>
      </c>
      <c r="AN42" s="143">
        <f t="shared" si="27"/>
        <v>58.66059659993708</v>
      </c>
      <c r="AO42" s="143">
        <f t="shared" si="27"/>
        <v>54.822417410619011</v>
      </c>
      <c r="AP42" s="143">
        <f t="shared" si="27"/>
        <v>52.802086001767201</v>
      </c>
      <c r="AQ42" s="140">
        <f t="shared" si="16"/>
        <v>8.0805314822558394</v>
      </c>
      <c r="AT42">
        <f t="shared" si="17"/>
        <v>5.5158733130582509E-4</v>
      </c>
      <c r="AU42">
        <f t="shared" si="18"/>
        <v>1.5334978649538594E-2</v>
      </c>
      <c r="AV42">
        <f t="shared" si="19"/>
        <v>3.1158383254412638E-2</v>
      </c>
      <c r="AW42">
        <f t="shared" si="20"/>
        <v>6.1302338083855899E-2</v>
      </c>
      <c r="AX42">
        <f t="shared" si="21"/>
        <v>0.10071804348499042</v>
      </c>
      <c r="AY42">
        <f t="shared" si="22"/>
        <v>0.11825182215799364</v>
      </c>
      <c r="AZ42">
        <f t="shared" si="23"/>
        <v>0.13241481800416233</v>
      </c>
      <c r="BA42">
        <f t="shared" si="24"/>
        <v>0.12603401966720687</v>
      </c>
      <c r="BB42">
        <f t="shared" si="25"/>
        <v>0.11647997726641397</v>
      </c>
      <c r="BC42">
        <f t="shared" si="26"/>
        <v>0.10580718032570359</v>
      </c>
    </row>
    <row r="43" spans="1:55" x14ac:dyDescent="0.35">
      <c r="A43" s="73" t="s">
        <v>48</v>
      </c>
      <c r="B43" s="73">
        <v>1</v>
      </c>
      <c r="C43" s="72" t="s">
        <v>95</v>
      </c>
      <c r="D43" s="73">
        <v>39</v>
      </c>
      <c r="E43" s="74">
        <v>28.366499999999998</v>
      </c>
      <c r="F43" s="75">
        <v>32.979999999999997</v>
      </c>
      <c r="G43" s="76">
        <v>100</v>
      </c>
      <c r="H43" s="73">
        <v>97.96</v>
      </c>
      <c r="I43" s="73">
        <v>97.1</v>
      </c>
      <c r="J43" s="73">
        <v>95.2</v>
      </c>
      <c r="K43" s="73">
        <v>91.14</v>
      </c>
      <c r="L43" s="73">
        <v>83.45</v>
      </c>
      <c r="M43" s="73">
        <v>76.180000000000007</v>
      </c>
      <c r="N43" s="73">
        <v>70.12</v>
      </c>
      <c r="O43" s="73">
        <v>65.8</v>
      </c>
      <c r="P43" s="73">
        <v>62.8</v>
      </c>
      <c r="Q43" s="49"/>
      <c r="R43" s="21">
        <f t="shared" si="3"/>
        <v>0</v>
      </c>
      <c r="S43" s="21">
        <f t="shared" si="4"/>
        <v>5.8020477815699842E-2</v>
      </c>
      <c r="T43" s="21">
        <f t="shared" si="5"/>
        <v>8.4548104956268397E-2</v>
      </c>
      <c r="U43" s="21">
        <f t="shared" si="6"/>
        <v>0.14814814814814803</v>
      </c>
      <c r="V43" s="21">
        <f t="shared" si="7"/>
        <v>0.3126323218066337</v>
      </c>
      <c r="W43" s="21">
        <f t="shared" si="8"/>
        <v>0.80145278450363155</v>
      </c>
      <c r="X43" s="21">
        <f t="shared" si="9"/>
        <v>1.7802690582959624</v>
      </c>
      <c r="Y43" s="21">
        <f t="shared" si="10"/>
        <v>4.0819672131147495</v>
      </c>
      <c r="Z43" s="21">
        <f t="shared" si="11"/>
        <v>11.4</v>
      </c>
      <c r="AA43" s="23">
        <f t="shared" si="12"/>
        <v>0.6919971803742383</v>
      </c>
      <c r="AB43" s="23" cm="1">
        <f t="array" ref="AB43">EXP(INDEX(LINEST(LN($H$2:$O$2),LN(S43:Z43)),1,2))</f>
        <v>0.15178009151144137</v>
      </c>
      <c r="AC43" s="145">
        <v>0.71</v>
      </c>
      <c r="AD43" s="145">
        <f t="shared" si="13"/>
        <v>0.14968932658208645</v>
      </c>
      <c r="AE43" s="145">
        <f t="shared" si="14"/>
        <v>56.382412534228941</v>
      </c>
      <c r="AG43" s="143">
        <f t="shared" si="27"/>
        <v>99.962361036971402</v>
      </c>
      <c r="AH43" s="143">
        <f t="shared" si="27"/>
        <v>98.206422116091133</v>
      </c>
      <c r="AI43" s="143">
        <f t="shared" si="27"/>
        <v>96.412872456374288</v>
      </c>
      <c r="AJ43" s="143">
        <f t="shared" si="27"/>
        <v>92.863488340514252</v>
      </c>
      <c r="AK43" s="143">
        <f t="shared" si="27"/>
        <v>87.075817635964242</v>
      </c>
      <c r="AL43" s="143">
        <f t="shared" si="27"/>
        <v>79.328041900189973</v>
      </c>
      <c r="AM43" s="143">
        <f t="shared" si="27"/>
        <v>71.312226977856611</v>
      </c>
      <c r="AN43" s="143">
        <f t="shared" si="27"/>
        <v>64.973775395089262</v>
      </c>
      <c r="AO43" s="143">
        <f t="shared" si="27"/>
        <v>60.841949672357927</v>
      </c>
      <c r="AP43" s="143">
        <f t="shared" si="27"/>
        <v>58.589813628391902</v>
      </c>
      <c r="AQ43" s="140">
        <f t="shared" si="16"/>
        <v>4.0818017695515216</v>
      </c>
      <c r="AT43">
        <f t="shared" si="17"/>
        <v>3.7638963028598484E-4</v>
      </c>
      <c r="AU43">
        <f t="shared" si="18"/>
        <v>2.515538138945889E-3</v>
      </c>
      <c r="AV43">
        <f t="shared" si="19"/>
        <v>7.0764937551566071E-3</v>
      </c>
      <c r="AW43">
        <f t="shared" si="20"/>
        <v>2.454318970048058E-2</v>
      </c>
      <c r="AX43">
        <f t="shared" si="21"/>
        <v>4.4592740443666429E-2</v>
      </c>
      <c r="AY43">
        <f t="shared" si="22"/>
        <v>4.9394345114559972E-2</v>
      </c>
      <c r="AZ43">
        <f t="shared" si="23"/>
        <v>6.3898306932835339E-2</v>
      </c>
      <c r="BA43">
        <f t="shared" si="24"/>
        <v>7.3391680047215371E-2</v>
      </c>
      <c r="BB43">
        <f t="shared" si="25"/>
        <v>7.5350308930730553E-2</v>
      </c>
      <c r="BC43">
        <f t="shared" si="26"/>
        <v>6.7041184261275408E-2</v>
      </c>
    </row>
    <row r="44" spans="1:55" x14ac:dyDescent="0.35">
      <c r="A44" s="73" t="s">
        <v>48</v>
      </c>
      <c r="B44" s="73">
        <v>1</v>
      </c>
      <c r="C44" s="72" t="s">
        <v>95</v>
      </c>
      <c r="D44" s="73">
        <v>40</v>
      </c>
      <c r="E44" s="74">
        <v>366.0052</v>
      </c>
      <c r="F44" s="75">
        <v>34.28</v>
      </c>
      <c r="G44" s="76">
        <v>100</v>
      </c>
      <c r="H44" s="73">
        <v>88.58</v>
      </c>
      <c r="I44" s="73">
        <v>81.58</v>
      </c>
      <c r="J44" s="73">
        <v>67.73</v>
      </c>
      <c r="K44" s="73">
        <v>56.75</v>
      </c>
      <c r="L44" s="73">
        <v>48.88</v>
      </c>
      <c r="M44" s="73">
        <v>43.2</v>
      </c>
      <c r="N44" s="73">
        <v>39.659999999999997</v>
      </c>
      <c r="O44" s="73">
        <v>36.67</v>
      </c>
      <c r="P44" s="73">
        <v>34.83</v>
      </c>
      <c r="Q44" s="49"/>
      <c r="R44" s="21">
        <f t="shared" si="3"/>
        <v>0</v>
      </c>
      <c r="S44" s="21">
        <f t="shared" si="4"/>
        <v>0.2124651162790698</v>
      </c>
      <c r="T44" s="21">
        <f t="shared" si="5"/>
        <v>0.3940106951871658</v>
      </c>
      <c r="U44" s="21">
        <f t="shared" si="6"/>
        <v>0.98085106382978693</v>
      </c>
      <c r="V44" s="21">
        <f t="shared" si="7"/>
        <v>1.9730839416058392</v>
      </c>
      <c r="W44" s="21">
        <f t="shared" si="8"/>
        <v>3.6384341637010662</v>
      </c>
      <c r="X44" s="21">
        <f t="shared" si="9"/>
        <v>6.786140979689363</v>
      </c>
      <c r="Y44" s="21">
        <f t="shared" si="10"/>
        <v>12.492753623188412</v>
      </c>
      <c r="Z44" s="21">
        <f t="shared" si="11"/>
        <v>34.418478260869499</v>
      </c>
      <c r="AA44" s="23">
        <f t="shared" si="12"/>
        <v>0.76262120880443085</v>
      </c>
      <c r="AB44" s="23" cm="1">
        <f t="array" ref="AB44">EXP(INDEX(LINEST(LN($H$2:$O$2),LN(S44:Z44)),1,2))</f>
        <v>5.1906851585715924E-2</v>
      </c>
      <c r="AC44" s="145">
        <v>0.71</v>
      </c>
      <c r="AD44" s="145">
        <f t="shared" si="13"/>
        <v>6.7227587167554462E-2</v>
      </c>
      <c r="AE44" s="145">
        <f t="shared" si="14"/>
        <v>32.782368492106826</v>
      </c>
      <c r="AG44" s="143">
        <f t="shared" si="27"/>
        <v>99.821221217449491</v>
      </c>
      <c r="AH44" s="143">
        <f t="shared" si="27"/>
        <v>92.140206852731907</v>
      </c>
      <c r="AI44" s="143">
        <f t="shared" si="27"/>
        <v>85.432259930345651</v>
      </c>
      <c r="AJ44" s="143">
        <f t="shared" si="27"/>
        <v>74.687900599876272</v>
      </c>
      <c r="AK44" s="143">
        <f t="shared" si="27"/>
        <v>62.005405302205588</v>
      </c>
      <c r="AL44" s="143">
        <f t="shared" si="27"/>
        <v>50.556521377533663</v>
      </c>
      <c r="AM44" s="143">
        <f t="shared" si="27"/>
        <v>42.47756032012461</v>
      </c>
      <c r="AN44" s="143">
        <f t="shared" si="27"/>
        <v>37.729069109571569</v>
      </c>
      <c r="AO44" s="143">
        <f t="shared" si="27"/>
        <v>35.173390470291558</v>
      </c>
      <c r="AP44" s="143">
        <f t="shared" si="27"/>
        <v>33.923104714884232</v>
      </c>
      <c r="AQ44" s="140">
        <f t="shared" si="16"/>
        <v>4.5109629900825547</v>
      </c>
      <c r="AT44">
        <f t="shared" si="17"/>
        <v>1.7877878255050917E-3</v>
      </c>
      <c r="AU44">
        <f t="shared" si="18"/>
        <v>4.0191994273333816E-2</v>
      </c>
      <c r="AV44">
        <f t="shared" si="19"/>
        <v>4.7220641460476255E-2</v>
      </c>
      <c r="AW44">
        <f t="shared" si="20"/>
        <v>0.10272996603980906</v>
      </c>
      <c r="AX44">
        <f t="shared" si="21"/>
        <v>9.2606260831816528E-2</v>
      </c>
      <c r="AY44">
        <f t="shared" si="22"/>
        <v>3.4298718852979956E-2</v>
      </c>
      <c r="AZ44">
        <f t="shared" si="23"/>
        <v>1.6723140737856315E-2</v>
      </c>
      <c r="BA44">
        <f t="shared" si="24"/>
        <v>4.8687112718820681E-2</v>
      </c>
      <c r="BB44">
        <f t="shared" si="25"/>
        <v>4.081291327266004E-2</v>
      </c>
      <c r="BC44">
        <f t="shared" si="26"/>
        <v>2.6037762994997594E-2</v>
      </c>
    </row>
    <row r="45" spans="1:55" x14ac:dyDescent="0.35">
      <c r="A45" s="73" t="s">
        <v>48</v>
      </c>
      <c r="B45" s="73">
        <v>1</v>
      </c>
      <c r="C45" s="72" t="s">
        <v>95</v>
      </c>
      <c r="D45" s="73">
        <v>41</v>
      </c>
      <c r="E45" s="74">
        <v>153.71109999999999</v>
      </c>
      <c r="F45" s="75">
        <v>35.369999999999997</v>
      </c>
      <c r="G45" s="76">
        <v>100</v>
      </c>
      <c r="H45" s="73">
        <v>92.94</v>
      </c>
      <c r="I45" s="73">
        <v>89.33</v>
      </c>
      <c r="J45" s="73">
        <v>81.17</v>
      </c>
      <c r="K45" s="73">
        <v>70.14</v>
      </c>
      <c r="L45" s="73">
        <v>61.17</v>
      </c>
      <c r="M45" s="73">
        <v>54.85</v>
      </c>
      <c r="N45" s="73">
        <v>50.93</v>
      </c>
      <c r="O45" s="73">
        <v>48.31</v>
      </c>
      <c r="P45" s="73">
        <v>46.62</v>
      </c>
      <c r="Q45" s="49"/>
      <c r="R45" s="21">
        <f t="shared" si="3"/>
        <v>0</v>
      </c>
      <c r="S45" s="21">
        <f t="shared" si="4"/>
        <v>0.15241796200345428</v>
      </c>
      <c r="T45" s="21">
        <f t="shared" si="5"/>
        <v>0.24982439709669871</v>
      </c>
      <c r="U45" s="21">
        <f t="shared" si="6"/>
        <v>0.54500723589001432</v>
      </c>
      <c r="V45" s="21">
        <f t="shared" si="7"/>
        <v>1.2695578231292515</v>
      </c>
      <c r="W45" s="21">
        <f t="shared" si="8"/>
        <v>2.6687285223367687</v>
      </c>
      <c r="X45" s="21">
        <f t="shared" si="9"/>
        <v>5.4860267314702282</v>
      </c>
      <c r="Y45" s="21">
        <f t="shared" si="10"/>
        <v>11.385150812064959</v>
      </c>
      <c r="Z45" s="21">
        <f t="shared" si="11"/>
        <v>30.585798816567959</v>
      </c>
      <c r="AA45" s="23">
        <f t="shared" si="12"/>
        <v>0.70875668155462901</v>
      </c>
      <c r="AB45" s="23" cm="1">
        <f t="array" ref="AB45">EXP(INDEX(LINEST(LN($H$2:$O$2),LN(S45:Z45)),1,2))</f>
        <v>6.8409754841590523E-2</v>
      </c>
      <c r="AC45" s="145">
        <v>0.71</v>
      </c>
      <c r="AD45" s="145">
        <f t="shared" si="13"/>
        <v>8.8202378846984314E-2</v>
      </c>
      <c r="AE45" s="145">
        <f t="shared" si="14"/>
        <v>40.788329131526524</v>
      </c>
      <c r="AG45" s="143">
        <f t="shared" si="27"/>
        <v>99.892476137289279</v>
      </c>
      <c r="AH45" s="143">
        <f t="shared" si="27"/>
        <v>95.094536849179562</v>
      </c>
      <c r="AI45" s="143">
        <f t="shared" si="27"/>
        <v>90.598261684675251</v>
      </c>
      <c r="AJ45" s="143">
        <f t="shared" si="27"/>
        <v>82.721331630706345</v>
      </c>
      <c r="AK45" s="143">
        <f t="shared" si="27"/>
        <v>72.168069931510573</v>
      </c>
      <c r="AL45" s="143">
        <f t="shared" si="27"/>
        <v>61.222659542413304</v>
      </c>
      <c r="AM45" s="143">
        <f t="shared" si="27"/>
        <v>52.519403193452874</v>
      </c>
      <c r="AN45" s="143">
        <f t="shared" si="27"/>
        <v>46.964246933735168</v>
      </c>
      <c r="AO45" s="143">
        <f t="shared" si="27"/>
        <v>43.825518232887298</v>
      </c>
      <c r="AP45" s="143">
        <f t="shared" si="27"/>
        <v>42.249804698243821</v>
      </c>
      <c r="AQ45" s="140">
        <f t="shared" si="16"/>
        <v>3.9426743514607412</v>
      </c>
      <c r="AT45">
        <f t="shared" si="17"/>
        <v>1.0752386271072113E-3</v>
      </c>
      <c r="AU45">
        <f t="shared" si="18"/>
        <v>2.3182019035717281E-2</v>
      </c>
      <c r="AV45">
        <f t="shared" si="19"/>
        <v>1.4197488913861552E-2</v>
      </c>
      <c r="AW45">
        <f t="shared" si="20"/>
        <v>1.9112130475623303E-2</v>
      </c>
      <c r="AX45">
        <f t="shared" si="21"/>
        <v>2.891459839621574E-2</v>
      </c>
      <c r="AY45">
        <f t="shared" si="22"/>
        <v>8.6087203552888771E-4</v>
      </c>
      <c r="AZ45">
        <f t="shared" si="23"/>
        <v>4.2490370219637696E-2</v>
      </c>
      <c r="BA45">
        <f t="shared" si="24"/>
        <v>7.7866739962003356E-2</v>
      </c>
      <c r="BB45">
        <f t="shared" si="25"/>
        <v>9.2827194516926198E-2</v>
      </c>
      <c r="BC45">
        <f t="shared" si="26"/>
        <v>9.3740782963452951E-2</v>
      </c>
    </row>
    <row r="46" spans="1:55" x14ac:dyDescent="0.35">
      <c r="A46" s="73" t="s">
        <v>48</v>
      </c>
      <c r="B46" s="73">
        <v>1</v>
      </c>
      <c r="C46" s="72" t="s">
        <v>95</v>
      </c>
      <c r="D46" s="73">
        <v>42</v>
      </c>
      <c r="E46" s="74">
        <v>257.803</v>
      </c>
      <c r="F46" s="75">
        <v>33.93</v>
      </c>
      <c r="G46" s="76">
        <v>100</v>
      </c>
      <c r="H46" s="73">
        <v>90.44</v>
      </c>
      <c r="I46" s="73">
        <v>87.26</v>
      </c>
      <c r="J46" s="73">
        <v>77.42</v>
      </c>
      <c r="K46" s="73">
        <v>66.930000000000007</v>
      </c>
      <c r="L46" s="73">
        <v>57.95</v>
      </c>
      <c r="M46" s="73">
        <v>51.48</v>
      </c>
      <c r="N46" s="73">
        <v>46.49</v>
      </c>
      <c r="O46" s="73">
        <v>42.44</v>
      </c>
      <c r="P46" s="73">
        <v>40.28</v>
      </c>
      <c r="Q46" s="49"/>
      <c r="R46" s="21">
        <f t="shared" si="3"/>
        <v>0</v>
      </c>
      <c r="S46" s="21">
        <f t="shared" si="4"/>
        <v>0.19059011164274328</v>
      </c>
      <c r="T46" s="21">
        <f t="shared" si="5"/>
        <v>0.2711792252022136</v>
      </c>
      <c r="U46" s="21">
        <f t="shared" si="6"/>
        <v>0.60796984383414099</v>
      </c>
      <c r="V46" s="21">
        <f t="shared" si="7"/>
        <v>1.2409005628517817</v>
      </c>
      <c r="W46" s="21">
        <f t="shared" si="8"/>
        <v>2.3797396717600448</v>
      </c>
      <c r="X46" s="21">
        <f t="shared" si="9"/>
        <v>4.3321428571428591</v>
      </c>
      <c r="Y46" s="21">
        <f t="shared" si="10"/>
        <v>8.6167471819645716</v>
      </c>
      <c r="Z46" s="21">
        <f t="shared" si="11"/>
        <v>26.648148148148191</v>
      </c>
      <c r="AA46" s="23">
        <f t="shared" si="12"/>
        <v>0.7703223039956868</v>
      </c>
      <c r="AB46" s="23" cm="1">
        <f t="array" ref="AB46">EXP(INDEX(LINEST(LN($H$2:$O$2),LN(S46:Z46)),1,2))</f>
        <v>6.8301282828135551E-2</v>
      </c>
      <c r="AC46" s="145">
        <v>0.71</v>
      </c>
      <c r="AD46" s="145">
        <f t="shared" si="13"/>
        <v>7.5021527393691445E-2</v>
      </c>
      <c r="AE46" s="145">
        <f t="shared" si="14"/>
        <v>36.016337827873656</v>
      </c>
      <c r="AG46" s="143">
        <f t="shared" si="27"/>
        <v>99.854128333969982</v>
      </c>
      <c r="AH46" s="143">
        <f t="shared" si="27"/>
        <v>93.480236785488614</v>
      </c>
      <c r="AI46" s="143">
        <f t="shared" si="27"/>
        <v>87.737781827839186</v>
      </c>
      <c r="AJ46" s="143">
        <f t="shared" si="27"/>
        <v>78.178540546337203</v>
      </c>
      <c r="AK46" s="143">
        <f t="shared" si="27"/>
        <v>66.282420917280007</v>
      </c>
      <c r="AL46" s="143">
        <f t="shared" si="27"/>
        <v>54.926568368109088</v>
      </c>
      <c r="AM46" s="143">
        <f t="shared" si="27"/>
        <v>46.53347166948636</v>
      </c>
      <c r="AN46" s="143">
        <f t="shared" si="27"/>
        <v>41.444974195245322</v>
      </c>
      <c r="AO46" s="143">
        <f t="shared" si="27"/>
        <v>38.65687603072535</v>
      </c>
      <c r="AP46" s="143">
        <f t="shared" si="27"/>
        <v>37.280019892342928</v>
      </c>
      <c r="AQ46" s="140">
        <f t="shared" si="16"/>
        <v>4.8042007991259172</v>
      </c>
      <c r="AT46">
        <f t="shared" si="17"/>
        <v>1.4587166603001833E-3</v>
      </c>
      <c r="AU46">
        <f t="shared" si="18"/>
        <v>3.3616063528180196E-2</v>
      </c>
      <c r="AV46">
        <f t="shared" si="19"/>
        <v>5.4753819371897838E-3</v>
      </c>
      <c r="AW46">
        <f t="shared" si="20"/>
        <v>9.7977337424076626E-3</v>
      </c>
      <c r="AX46">
        <f t="shared" si="21"/>
        <v>9.6754681416405201E-3</v>
      </c>
      <c r="AY46">
        <f t="shared" si="22"/>
        <v>5.2173108401913977E-2</v>
      </c>
      <c r="AZ46">
        <f t="shared" si="23"/>
        <v>9.6086408906636306E-2</v>
      </c>
      <c r="BA46">
        <f t="shared" si="24"/>
        <v>0.10851851591212475</v>
      </c>
      <c r="BB46">
        <f t="shared" si="25"/>
        <v>8.9140527079987E-2</v>
      </c>
      <c r="BC46">
        <f t="shared" si="26"/>
        <v>7.4478155602211354E-2</v>
      </c>
    </row>
    <row r="47" spans="1:55" x14ac:dyDescent="0.35">
      <c r="A47" s="73" t="s">
        <v>48</v>
      </c>
      <c r="B47" s="73">
        <v>1</v>
      </c>
      <c r="C47" s="72" t="s">
        <v>95</v>
      </c>
      <c r="D47" s="73">
        <v>43</v>
      </c>
      <c r="E47" s="74">
        <v>720.02599999999995</v>
      </c>
      <c r="F47" s="75">
        <v>36.22</v>
      </c>
      <c r="G47" s="76">
        <v>100</v>
      </c>
      <c r="H47" s="73">
        <v>81.3</v>
      </c>
      <c r="I47" s="73">
        <v>70.52</v>
      </c>
      <c r="J47" s="73">
        <v>57.34</v>
      </c>
      <c r="K47" s="73">
        <v>47.65</v>
      </c>
      <c r="L47" s="73">
        <v>40.700000000000003</v>
      </c>
      <c r="M47" s="73">
        <v>35.57</v>
      </c>
      <c r="N47" s="73">
        <v>31.85</v>
      </c>
      <c r="O47" s="73">
        <v>29.75</v>
      </c>
      <c r="P47" s="73">
        <v>28.26</v>
      </c>
      <c r="Q47" s="49"/>
      <c r="R47" s="21">
        <f t="shared" si="3"/>
        <v>0</v>
      </c>
      <c r="S47" s="21">
        <f t="shared" si="4"/>
        <v>0.35256410256410264</v>
      </c>
      <c r="T47" s="21">
        <f t="shared" si="5"/>
        <v>0.69758637008991975</v>
      </c>
      <c r="U47" s="21">
        <f t="shared" si="6"/>
        <v>1.466987620357634</v>
      </c>
      <c r="V47" s="21">
        <f t="shared" si="7"/>
        <v>2.6998452810727183</v>
      </c>
      <c r="W47" s="21">
        <f t="shared" si="8"/>
        <v>4.7668810289389061</v>
      </c>
      <c r="X47" s="21">
        <f t="shared" si="9"/>
        <v>8.8139534883720962</v>
      </c>
      <c r="Y47" s="21">
        <f t="shared" si="10"/>
        <v>18.983286908077996</v>
      </c>
      <c r="Z47" s="21">
        <f t="shared" si="11"/>
        <v>47.147651006711456</v>
      </c>
      <c r="AA47" s="23">
        <f t="shared" si="12"/>
        <v>0.79729730630983997</v>
      </c>
      <c r="AB47" s="23" cm="1">
        <f t="array" ref="AB47">EXP(INDEX(LINEST(LN($H$2:$O$2),LN(S47:Z47)),1,2))</f>
        <v>3.7052570693969007E-2</v>
      </c>
      <c r="AC47" s="145">
        <v>0.71</v>
      </c>
      <c r="AD47" s="145">
        <f t="shared" si="13"/>
        <v>5.4396261822294331E-2</v>
      </c>
      <c r="AE47" s="145">
        <f t="shared" si="14"/>
        <v>26.538336588254019</v>
      </c>
      <c r="AG47" s="143">
        <f t="shared" si="27"/>
        <v>99.736949342261511</v>
      </c>
      <c r="AH47" s="143">
        <f t="shared" si="27"/>
        <v>88.87665816004403</v>
      </c>
      <c r="AI47" s="143">
        <f t="shared" si="27"/>
        <v>80.048414068357502</v>
      </c>
      <c r="AJ47" s="143">
        <f t="shared" si="27"/>
        <v>67.036250717264181</v>
      </c>
      <c r="AK47" s="143">
        <f t="shared" si="27"/>
        <v>53.231882905634656</v>
      </c>
      <c r="AL47" s="143">
        <f t="shared" si="27"/>
        <v>42.008561721595512</v>
      </c>
      <c r="AM47" s="143">
        <f t="shared" si="27"/>
        <v>34.705120997615289</v>
      </c>
      <c r="AN47" s="143">
        <f t="shared" si="27"/>
        <v>30.627820185214485</v>
      </c>
      <c r="AO47" s="143">
        <f t="shared" si="27"/>
        <v>28.495453531546719</v>
      </c>
      <c r="AP47" s="143">
        <f t="shared" si="27"/>
        <v>27.467561284666218</v>
      </c>
      <c r="AQ47" s="140">
        <f t="shared" si="16"/>
        <v>6.8223506085022327</v>
      </c>
      <c r="AT47">
        <f t="shared" si="17"/>
        <v>2.6305065773848924E-3</v>
      </c>
      <c r="AU47">
        <f t="shared" si="18"/>
        <v>9.3193827306814678E-2</v>
      </c>
      <c r="AV47">
        <f t="shared" si="19"/>
        <v>0.13511647856434353</v>
      </c>
      <c r="AW47">
        <f t="shared" si="20"/>
        <v>0.16910098913959151</v>
      </c>
      <c r="AX47">
        <f t="shared" si="21"/>
        <v>0.11714339780975147</v>
      </c>
      <c r="AY47">
        <f t="shared" si="22"/>
        <v>3.215139365099532E-2</v>
      </c>
      <c r="AZ47">
        <f t="shared" si="23"/>
        <v>2.4314844036680102E-2</v>
      </c>
      <c r="BA47">
        <f t="shared" si="24"/>
        <v>3.8372992614929859E-2</v>
      </c>
      <c r="BB47">
        <f t="shared" si="25"/>
        <v>4.2169629191706921E-2</v>
      </c>
      <c r="BC47">
        <f t="shared" si="26"/>
        <v>2.8041001958024909E-2</v>
      </c>
    </row>
    <row r="48" spans="1:55" x14ac:dyDescent="0.35">
      <c r="A48" s="73" t="s">
        <v>48</v>
      </c>
      <c r="B48" s="73">
        <v>1</v>
      </c>
      <c r="C48" s="72" t="s">
        <v>95</v>
      </c>
      <c r="D48" s="73">
        <v>44</v>
      </c>
      <c r="E48" s="74">
        <v>129.12700000000001</v>
      </c>
      <c r="F48" s="75">
        <v>34</v>
      </c>
      <c r="G48" s="76">
        <v>100</v>
      </c>
      <c r="H48" s="73">
        <v>96.48</v>
      </c>
      <c r="I48" s="73">
        <v>94.61</v>
      </c>
      <c r="J48" s="73">
        <v>88.8</v>
      </c>
      <c r="K48" s="73">
        <v>78.209999999999994</v>
      </c>
      <c r="L48" s="73">
        <v>68.11</v>
      </c>
      <c r="M48" s="73">
        <v>59.68</v>
      </c>
      <c r="N48" s="73">
        <v>53.29</v>
      </c>
      <c r="O48" s="73">
        <v>48.75</v>
      </c>
      <c r="P48" s="73">
        <v>46.17</v>
      </c>
      <c r="Q48" s="49"/>
      <c r="R48" s="21">
        <f t="shared" si="3"/>
        <v>0</v>
      </c>
      <c r="S48" s="21">
        <f t="shared" si="4"/>
        <v>6.9966209501093141E-2</v>
      </c>
      <c r="T48" s="21">
        <f t="shared" si="5"/>
        <v>0.11127167630057805</v>
      </c>
      <c r="U48" s="21">
        <f t="shared" si="6"/>
        <v>0.26272577996715935</v>
      </c>
      <c r="V48" s="21">
        <f t="shared" si="7"/>
        <v>0.68008739076154845</v>
      </c>
      <c r="W48" s="21">
        <f t="shared" si="8"/>
        <v>1.4535095715587969</v>
      </c>
      <c r="X48" s="21">
        <f t="shared" si="9"/>
        <v>2.9844559585492232</v>
      </c>
      <c r="Y48" s="21">
        <f t="shared" si="10"/>
        <v>6.5603932584269691</v>
      </c>
      <c r="Z48" s="21">
        <f t="shared" si="11"/>
        <v>19.864341085271331</v>
      </c>
      <c r="AA48" s="23">
        <f t="shared" si="12"/>
        <v>0.66504115325022095</v>
      </c>
      <c r="AB48" s="23" cm="1">
        <f t="array" ref="AB48">EXP(INDEX(LINEST(LN($H$2:$O$2),LN(S48:Z48)),1,2))</f>
        <v>0.10773003674834368</v>
      </c>
      <c r="AC48" s="145">
        <v>0.71</v>
      </c>
      <c r="AD48" s="145">
        <f t="shared" si="13"/>
        <v>9.31473910557096E-2</v>
      </c>
      <c r="AE48" s="145">
        <f t="shared" si="14"/>
        <v>42.39657067142425</v>
      </c>
      <c r="AG48" s="143">
        <f t="shared" si="27"/>
        <v>99.903119259327852</v>
      </c>
      <c r="AH48" s="143">
        <f t="shared" si="27"/>
        <v>95.553449227749027</v>
      </c>
      <c r="AI48" s="143">
        <f t="shared" si="27"/>
        <v>91.429380237741853</v>
      </c>
      <c r="AJ48" s="143">
        <f t="shared" si="27"/>
        <v>84.090397971051971</v>
      </c>
      <c r="AK48" s="143">
        <f t="shared" si="27"/>
        <v>74.023381469815845</v>
      </c>
      <c r="AL48" s="143">
        <f t="shared" si="27"/>
        <v>63.287663946424416</v>
      </c>
      <c r="AM48" s="143">
        <f t="shared" si="27"/>
        <v>54.528450887785041</v>
      </c>
      <c r="AN48" s="143">
        <f t="shared" si="27"/>
        <v>48.830952857644569</v>
      </c>
      <c r="AO48" s="143">
        <f t="shared" si="27"/>
        <v>45.574207609477433</v>
      </c>
      <c r="AP48" s="143">
        <f t="shared" si="27"/>
        <v>43.928871907451757</v>
      </c>
      <c r="AQ48" s="140">
        <f t="shared" si="16"/>
        <v>5.0523917647266749</v>
      </c>
      <c r="AT48">
        <f t="shared" si="17"/>
        <v>9.6880740672148139E-4</v>
      </c>
      <c r="AU48">
        <f t="shared" si="18"/>
        <v>9.6035527803791116E-3</v>
      </c>
      <c r="AV48">
        <f t="shared" si="19"/>
        <v>3.3618219662383958E-2</v>
      </c>
      <c r="AW48">
        <f t="shared" si="20"/>
        <v>5.3036058884549847E-2</v>
      </c>
      <c r="AX48">
        <f t="shared" si="21"/>
        <v>5.3530476028438162E-2</v>
      </c>
      <c r="AY48">
        <f t="shared" si="22"/>
        <v>7.0802173742116919E-2</v>
      </c>
      <c r="AZ48">
        <f t="shared" si="23"/>
        <v>8.6319522657757344E-2</v>
      </c>
      <c r="BA48">
        <f t="shared" si="24"/>
        <v>8.3675119954127047E-2</v>
      </c>
      <c r="BB48">
        <f t="shared" si="25"/>
        <v>6.5144459292770601E-2</v>
      </c>
      <c r="BC48">
        <f t="shared" si="26"/>
        <v>4.8540786063423096E-2</v>
      </c>
    </row>
    <row r="49" spans="1:55" s="52" customFormat="1" x14ac:dyDescent="0.35">
      <c r="A49" s="153" t="s">
        <v>48</v>
      </c>
      <c r="B49" s="153">
        <v>1</v>
      </c>
      <c r="C49" s="154" t="s">
        <v>95</v>
      </c>
      <c r="D49" s="153">
        <v>45</v>
      </c>
      <c r="E49" s="156">
        <v>20.324999999999999</v>
      </c>
      <c r="F49" s="156">
        <v>35.11</v>
      </c>
      <c r="G49" s="157">
        <v>100</v>
      </c>
      <c r="H49" s="153">
        <v>98.19</v>
      </c>
      <c r="I49" s="153">
        <v>97.28</v>
      </c>
      <c r="J49" s="153">
        <v>96</v>
      </c>
      <c r="K49" s="153">
        <v>92.06</v>
      </c>
      <c r="L49" s="153">
        <v>85.13</v>
      </c>
      <c r="M49" s="153">
        <v>76.87</v>
      </c>
      <c r="N49" s="153">
        <v>71.260000000000005</v>
      </c>
      <c r="O49" s="153">
        <v>67.84</v>
      </c>
      <c r="P49" s="153">
        <v>65.42</v>
      </c>
      <c r="Q49" s="159"/>
      <c r="R49" s="23">
        <f t="shared" si="3"/>
        <v>0</v>
      </c>
      <c r="S49" s="23">
        <f t="shared" si="4"/>
        <v>5.5233445224290585E-2</v>
      </c>
      <c r="T49" s="23">
        <f t="shared" si="5"/>
        <v>8.5373509102322623E-2</v>
      </c>
      <c r="U49" s="23">
        <f t="shared" si="6"/>
        <v>0.13080444735120994</v>
      </c>
      <c r="V49" s="23">
        <f t="shared" si="7"/>
        <v>0.29804804804804796</v>
      </c>
      <c r="W49" s="23">
        <f t="shared" si="8"/>
        <v>0.7544393708777275</v>
      </c>
      <c r="X49" s="23">
        <f t="shared" si="9"/>
        <v>2.0200873362445404</v>
      </c>
      <c r="Y49" s="23">
        <f t="shared" si="10"/>
        <v>4.9212328767123248</v>
      </c>
      <c r="Z49" s="23">
        <f t="shared" si="11"/>
        <v>13.289256198347097</v>
      </c>
      <c r="AA49" s="23">
        <f t="shared" si="12"/>
        <v>0.65783691473433059</v>
      </c>
      <c r="AB49" s="23" cm="1">
        <f t="array" ref="AB49">EXP(INDEX(LINEST(LN($H$2:$O$2),LN(S49:Z49)),1,2))</f>
        <v>0.14672120623036297</v>
      </c>
      <c r="AC49" s="52">
        <v>0.71</v>
      </c>
      <c r="AD49" s="52">
        <f t="shared" si="13"/>
        <v>0.16615196124290668</v>
      </c>
      <c r="AE49" s="52">
        <f t="shared" si="14"/>
        <v>59.458632923656204</v>
      </c>
      <c r="AG49" s="160">
        <f t="shared" si="27"/>
        <v>99.96979337611468</v>
      </c>
      <c r="AH49" s="160">
        <f t="shared" si="27"/>
        <v>98.552624693384516</v>
      </c>
      <c r="AI49" s="160">
        <f t="shared" si="27"/>
        <v>97.088819226797497</v>
      </c>
      <c r="AJ49" s="160">
        <f t="shared" si="27"/>
        <v>94.142383162441845</v>
      </c>
      <c r="AK49" s="160">
        <f t="shared" si="27"/>
        <v>89.191391663455263</v>
      </c>
      <c r="AL49" s="160">
        <f t="shared" si="27"/>
        <v>82.26309037803685</v>
      </c>
      <c r="AM49" s="160">
        <f t="shared" si="27"/>
        <v>74.706080285122567</v>
      </c>
      <c r="AN49" s="160">
        <f t="shared" si="27"/>
        <v>68.428522127553265</v>
      </c>
      <c r="AO49" s="160">
        <f t="shared" si="27"/>
        <v>64.183362623344124</v>
      </c>
      <c r="AP49" s="160">
        <f t="shared" si="27"/>
        <v>61.816264371506527</v>
      </c>
      <c r="AQ49" s="161">
        <f t="shared" si="16"/>
        <v>2.670195363451473</v>
      </c>
      <c r="AT49" s="52">
        <f t="shared" si="17"/>
        <v>3.0206623885320027E-4</v>
      </c>
      <c r="AU49" s="52">
        <f t="shared" si="18"/>
        <v>3.6930918971842153E-3</v>
      </c>
      <c r="AV49" s="52">
        <f t="shared" si="19"/>
        <v>1.9652628824270552E-3</v>
      </c>
      <c r="AW49" s="52">
        <f t="shared" si="20"/>
        <v>1.9350175391230778E-2</v>
      </c>
      <c r="AX49" s="52">
        <f t="shared" si="21"/>
        <v>3.1160203525361054E-2</v>
      </c>
      <c r="AY49" s="52">
        <f t="shared" si="22"/>
        <v>3.367684273420822E-2</v>
      </c>
      <c r="AZ49" s="52">
        <f t="shared" si="23"/>
        <v>2.8150380055645078E-2</v>
      </c>
      <c r="BA49" s="52">
        <f t="shared" si="24"/>
        <v>3.9734463548228176E-2</v>
      </c>
      <c r="BB49" s="52">
        <f t="shared" si="25"/>
        <v>5.3900904726649171E-2</v>
      </c>
      <c r="BC49" s="52">
        <f t="shared" si="26"/>
        <v>5.5086145345360354E-2</v>
      </c>
    </row>
    <row r="50" spans="1:55" x14ac:dyDescent="0.35">
      <c r="A50" s="73" t="s">
        <v>48</v>
      </c>
      <c r="B50" s="73">
        <v>1</v>
      </c>
      <c r="C50" s="72" t="s">
        <v>95</v>
      </c>
      <c r="D50" s="73">
        <v>46</v>
      </c>
      <c r="E50" s="75">
        <v>14.2</v>
      </c>
      <c r="F50" s="75">
        <v>32.950000000000003</v>
      </c>
      <c r="G50" s="76">
        <v>100</v>
      </c>
      <c r="H50" s="73">
        <v>97.21</v>
      </c>
      <c r="I50" s="73">
        <v>96.39</v>
      </c>
      <c r="J50" s="73">
        <v>95</v>
      </c>
      <c r="K50" s="73">
        <v>91.37</v>
      </c>
      <c r="L50" s="73">
        <v>85.17</v>
      </c>
      <c r="M50" s="73">
        <v>76.53</v>
      </c>
      <c r="N50" s="73">
        <v>70</v>
      </c>
      <c r="O50" s="73">
        <v>64.53</v>
      </c>
      <c r="P50" s="73">
        <v>61.53</v>
      </c>
      <c r="Q50" s="49"/>
      <c r="R50" s="21">
        <f t="shared" si="3"/>
        <v>0</v>
      </c>
      <c r="S50" s="21">
        <f t="shared" si="4"/>
        <v>7.8195067264574189E-2</v>
      </c>
      <c r="T50" s="21">
        <f t="shared" si="5"/>
        <v>0.10355708548479631</v>
      </c>
      <c r="U50" s="21">
        <f t="shared" si="6"/>
        <v>0.14938751120406335</v>
      </c>
      <c r="V50" s="21">
        <f t="shared" si="7"/>
        <v>0.28920911528150117</v>
      </c>
      <c r="W50" s="21">
        <f t="shared" si="8"/>
        <v>0.6273265651438239</v>
      </c>
      <c r="X50" s="21">
        <f t="shared" si="9"/>
        <v>1.5646666666666667</v>
      </c>
      <c r="Y50" s="21">
        <f t="shared" si="10"/>
        <v>3.5419126328217243</v>
      </c>
      <c r="Z50" s="21">
        <f t="shared" si="11"/>
        <v>11.823333333333332</v>
      </c>
      <c r="AA50" s="23">
        <f t="shared" si="12"/>
        <v>0.72288139704939081</v>
      </c>
      <c r="AB50" s="23" cm="1">
        <f t="array" ref="AB50">EXP(INDEX(LINEST(LN($H$2:$O$2),LN(S50:Z50)),1,2))</f>
        <v>0.15492579813859828</v>
      </c>
      <c r="AC50" s="145">
        <v>0.71</v>
      </c>
      <c r="AD50" s="145">
        <f t="shared" si="13"/>
        <v>0.18588861160962078</v>
      </c>
      <c r="AE50" s="145">
        <f t="shared" si="14"/>
        <v>62.767883150604618</v>
      </c>
      <c r="AG50" s="143">
        <f t="shared" si="27"/>
        <v>99.976312967166592</v>
      </c>
      <c r="AH50" s="143">
        <f t="shared" si="27"/>
        <v>98.859184284035322</v>
      </c>
      <c r="AI50" s="143">
        <f t="shared" si="27"/>
        <v>97.693174925789208</v>
      </c>
      <c r="AJ50" s="143">
        <f t="shared" si="27"/>
        <v>95.308020499614045</v>
      </c>
      <c r="AK50" s="143">
        <f t="shared" si="27"/>
        <v>91.181373116302183</v>
      </c>
      <c r="AL50" s="143">
        <f t="shared" si="27"/>
        <v>85.142296643225748</v>
      </c>
      <c r="AM50" s="143">
        <f t="shared" si="27"/>
        <v>78.176498737091862</v>
      </c>
      <c r="AN50" s="143">
        <f t="shared" si="27"/>
        <v>72.064208795072275</v>
      </c>
      <c r="AO50" s="143">
        <f t="shared" si="27"/>
        <v>67.750657378751214</v>
      </c>
      <c r="AP50" s="143">
        <f t="shared" si="27"/>
        <v>65.278897495719562</v>
      </c>
      <c r="AQ50" s="140">
        <f t="shared" si="16"/>
        <v>1.9819441751180729</v>
      </c>
      <c r="AT50">
        <f t="shared" si="17"/>
        <v>2.3687032833407784E-4</v>
      </c>
      <c r="AU50">
        <f t="shared" si="18"/>
        <v>1.6965171114446339E-2</v>
      </c>
      <c r="AV50">
        <f t="shared" si="19"/>
        <v>1.3519814563639458E-2</v>
      </c>
      <c r="AW50">
        <f t="shared" si="20"/>
        <v>3.242321048568897E-3</v>
      </c>
      <c r="AX50">
        <f t="shared" si="21"/>
        <v>2.0644290653148928E-3</v>
      </c>
      <c r="AY50">
        <f t="shared" si="22"/>
        <v>3.2527130179938368E-4</v>
      </c>
      <c r="AZ50">
        <f t="shared" si="23"/>
        <v>2.1514422280045218E-2</v>
      </c>
      <c r="BA50">
        <f t="shared" si="24"/>
        <v>2.9488697072461077E-2</v>
      </c>
      <c r="BB50">
        <f t="shared" si="25"/>
        <v>4.9909458836993839E-2</v>
      </c>
      <c r="BC50">
        <f t="shared" si="26"/>
        <v>6.0927961900204143E-2</v>
      </c>
    </row>
    <row r="51" spans="1:55" x14ac:dyDescent="0.35">
      <c r="A51" s="73" t="s">
        <v>48</v>
      </c>
      <c r="B51" s="73">
        <v>1</v>
      </c>
      <c r="C51" s="72" t="s">
        <v>95</v>
      </c>
      <c r="D51" s="73">
        <v>47</v>
      </c>
      <c r="E51" s="75">
        <v>6.0469999999999997</v>
      </c>
      <c r="F51" s="75">
        <v>34.74</v>
      </c>
      <c r="G51" s="76">
        <v>100</v>
      </c>
      <c r="H51" s="73">
        <v>99.05</v>
      </c>
      <c r="I51" s="73">
        <v>98.18</v>
      </c>
      <c r="J51" s="73">
        <v>97.3</v>
      </c>
      <c r="K51" s="73">
        <v>96.24</v>
      </c>
      <c r="L51" s="73">
        <v>92.92</v>
      </c>
      <c r="M51" s="73">
        <v>87.59</v>
      </c>
      <c r="N51" s="73">
        <v>80.459999999999994</v>
      </c>
      <c r="O51" s="73">
        <v>74.739999999999995</v>
      </c>
      <c r="P51" s="73">
        <v>71.84</v>
      </c>
      <c r="Q51" s="49"/>
      <c r="R51" s="21">
        <f t="shared" si="3"/>
        <v>0</v>
      </c>
      <c r="S51" s="21">
        <f t="shared" si="4"/>
        <v>3.4913634693127638E-2</v>
      </c>
      <c r="T51" s="21">
        <f t="shared" si="5"/>
        <v>6.909643128321917E-2</v>
      </c>
      <c r="U51" s="21">
        <f t="shared" si="6"/>
        <v>0.10604870384917531</v>
      </c>
      <c r="V51" s="21">
        <f t="shared" si="7"/>
        <v>0.15409836065573798</v>
      </c>
      <c r="W51" s="21">
        <f t="shared" si="8"/>
        <v>0.33586337760910812</v>
      </c>
      <c r="X51" s="21">
        <f t="shared" si="9"/>
        <v>0.78793650793650771</v>
      </c>
      <c r="Y51" s="21">
        <f t="shared" si="10"/>
        <v>2.26682134570766</v>
      </c>
      <c r="Z51" s="21">
        <f t="shared" si="11"/>
        <v>8.7103448275862334</v>
      </c>
      <c r="AA51" s="23">
        <f t="shared" si="12"/>
        <v>0.69275863358505285</v>
      </c>
      <c r="AB51" s="23" cm="1">
        <f t="array" ref="AB51">EXP(INDEX(LINEST(LN($H$2:$O$2),LN(S51:Z51)),1,2))</f>
        <v>0.22022211042183029</v>
      </c>
      <c r="AC51" s="145">
        <v>0.71</v>
      </c>
      <c r="AD51" s="145">
        <f t="shared" si="13"/>
        <v>0.24282702847120624</v>
      </c>
      <c r="AE51" s="145">
        <f t="shared" si="14"/>
        <v>70.645639268245944</v>
      </c>
      <c r="AG51" s="143">
        <f t="shared" si="27"/>
        <v>99.987179362214718</v>
      </c>
      <c r="AH51" s="143">
        <f t="shared" si="27"/>
        <v>99.376665027396086</v>
      </c>
      <c r="AI51" s="143">
        <f t="shared" si="27"/>
        <v>98.726938950141488</v>
      </c>
      <c r="AJ51" s="143">
        <f t="shared" si="27"/>
        <v>97.356485052822947</v>
      </c>
      <c r="AK51" s="143">
        <f t="shared" si="27"/>
        <v>94.844911759201082</v>
      </c>
      <c r="AL51" s="143">
        <f t="shared" si="27"/>
        <v>90.809616591965266</v>
      </c>
      <c r="AM51" s="143">
        <f t="shared" si="27"/>
        <v>85.530340092594372</v>
      </c>
      <c r="AN51" s="143">
        <f t="shared" si="27"/>
        <v>80.230541985011683</v>
      </c>
      <c r="AO51" s="143">
        <f t="shared" si="27"/>
        <v>76.03938934519779</v>
      </c>
      <c r="AP51" s="143">
        <f t="shared" si="27"/>
        <v>73.443750769117884</v>
      </c>
      <c r="AQ51" s="140">
        <f t="shared" si="16"/>
        <v>1.1286124768675354</v>
      </c>
      <c r="AT51">
        <f t="shared" si="17"/>
        <v>1.2820637785281974E-4</v>
      </c>
      <c r="AU51">
        <f t="shared" si="18"/>
        <v>3.297981094357286E-3</v>
      </c>
      <c r="AV51">
        <f t="shared" si="19"/>
        <v>5.5707776547309117E-3</v>
      </c>
      <c r="AW51">
        <f t="shared" si="20"/>
        <v>5.8052469499434648E-4</v>
      </c>
      <c r="AX51">
        <f t="shared" si="21"/>
        <v>1.4495929351609651E-2</v>
      </c>
      <c r="AY51">
        <f t="shared" si="22"/>
        <v>2.2711831769637703E-2</v>
      </c>
      <c r="AZ51">
        <f t="shared" si="23"/>
        <v>2.3514783735650545E-2</v>
      </c>
      <c r="BA51">
        <f t="shared" si="24"/>
        <v>2.851827181062768E-3</v>
      </c>
      <c r="BB51">
        <f t="shared" si="25"/>
        <v>1.7385460866976125E-2</v>
      </c>
      <c r="BC51">
        <f t="shared" si="26"/>
        <v>2.2323924959881405E-2</v>
      </c>
    </row>
    <row r="52" spans="1:55" x14ac:dyDescent="0.35">
      <c r="A52" s="73" t="s">
        <v>48</v>
      </c>
      <c r="B52" s="73">
        <v>1</v>
      </c>
      <c r="C52" s="72" t="s">
        <v>95</v>
      </c>
      <c r="D52" s="73">
        <v>48</v>
      </c>
      <c r="E52" s="74">
        <v>51.198999999999998</v>
      </c>
      <c r="F52" s="75">
        <v>35.409999999999997</v>
      </c>
      <c r="G52" s="76">
        <v>100</v>
      </c>
      <c r="H52" s="73">
        <v>97.7</v>
      </c>
      <c r="I52" s="73">
        <v>96.26</v>
      </c>
      <c r="J52" s="73">
        <v>93.46</v>
      </c>
      <c r="K52" s="73">
        <v>88.12</v>
      </c>
      <c r="L52" s="73">
        <v>79.08</v>
      </c>
      <c r="M52" s="73">
        <v>70.75</v>
      </c>
      <c r="N52" s="73">
        <v>65.02</v>
      </c>
      <c r="O52" s="73">
        <v>61.39</v>
      </c>
      <c r="P52" s="73">
        <v>59.31</v>
      </c>
      <c r="Q52" s="49"/>
      <c r="R52" s="21">
        <f t="shared" si="3"/>
        <v>0</v>
      </c>
      <c r="S52" s="21">
        <f t="shared" si="4"/>
        <v>5.9911435269601382E-2</v>
      </c>
      <c r="T52" s="21">
        <f t="shared" si="5"/>
        <v>0.10121786197564261</v>
      </c>
      <c r="U52" s="21">
        <f t="shared" si="6"/>
        <v>0.1915080527086386</v>
      </c>
      <c r="V52" s="21">
        <f t="shared" si="7"/>
        <v>0.41235682054842049</v>
      </c>
      <c r="W52" s="21">
        <f t="shared" si="8"/>
        <v>1.0581689428426913</v>
      </c>
      <c r="X52" s="21">
        <f t="shared" si="9"/>
        <v>2.5568181818181825</v>
      </c>
      <c r="Y52" s="21">
        <f t="shared" si="10"/>
        <v>6.1260945709282035</v>
      </c>
      <c r="Z52" s="21">
        <f t="shared" si="11"/>
        <v>18.562500000000014</v>
      </c>
      <c r="AA52" s="23">
        <f t="shared" si="12"/>
        <v>0.64820032034491515</v>
      </c>
      <c r="AB52" s="23" cm="1">
        <f t="array" ref="AB52">EXP(INDEX(LINEST(LN($H$2:$O$2),LN(S52:Z52)),1,2))</f>
        <v>0.12332430036325284</v>
      </c>
      <c r="AC52" s="145">
        <v>0.71</v>
      </c>
      <c r="AD52" s="145">
        <f t="shared" si="13"/>
        <v>0.12442859369447719</v>
      </c>
      <c r="AE52" s="145">
        <f t="shared" si="14"/>
        <v>50.9331758344196</v>
      </c>
      <c r="AG52" s="143">
        <f t="shared" si="27"/>
        <v>99.945082623988043</v>
      </c>
      <c r="AH52" s="143">
        <f t="shared" si="27"/>
        <v>97.41401626569855</v>
      </c>
      <c r="AI52" s="143">
        <f t="shared" si="27"/>
        <v>94.889800897664983</v>
      </c>
      <c r="AJ52" s="143">
        <f t="shared" si="27"/>
        <v>90.067958762630312</v>
      </c>
      <c r="AK52" s="143">
        <f t="shared" si="27"/>
        <v>82.665349997873065</v>
      </c>
      <c r="AL52" s="143">
        <f t="shared" si="27"/>
        <v>73.557163513823085</v>
      </c>
      <c r="AM52" s="143">
        <f t="shared" si="27"/>
        <v>64.980884792850631</v>
      </c>
      <c r="AN52" s="143">
        <f t="shared" si="27"/>
        <v>58.734957441736228</v>
      </c>
      <c r="AO52" s="143">
        <f t="shared" si="27"/>
        <v>54.892828379969529</v>
      </c>
      <c r="AP52" s="143">
        <f t="shared" si="27"/>
        <v>52.869674771545988</v>
      </c>
      <c r="AQ52" s="140">
        <f t="shared" si="16"/>
        <v>5.7837094291904663</v>
      </c>
      <c r="AT52">
        <f t="shared" si="17"/>
        <v>5.4917376011957234E-4</v>
      </c>
      <c r="AU52">
        <f t="shared" si="18"/>
        <v>2.9271620706392354E-3</v>
      </c>
      <c r="AV52">
        <f t="shared" si="19"/>
        <v>1.4234355935331618E-2</v>
      </c>
      <c r="AW52">
        <f t="shared" si="20"/>
        <v>3.6294042770914636E-2</v>
      </c>
      <c r="AX52">
        <f t="shared" si="21"/>
        <v>6.1900249683692003E-2</v>
      </c>
      <c r="AY52">
        <f t="shared" si="22"/>
        <v>6.9838599976946303E-2</v>
      </c>
      <c r="AZ52">
        <f t="shared" si="23"/>
        <v>8.1542264412005211E-2</v>
      </c>
      <c r="BA52">
        <f t="shared" si="24"/>
        <v>9.6663219905625486E-2</v>
      </c>
      <c r="BB52">
        <f t="shared" si="25"/>
        <v>0.10583436422919809</v>
      </c>
      <c r="BC52">
        <f t="shared" si="26"/>
        <v>0.10858751017457451</v>
      </c>
    </row>
    <row r="53" spans="1:55" x14ac:dyDescent="0.35">
      <c r="A53" s="73" t="s">
        <v>48</v>
      </c>
      <c r="B53" s="73">
        <v>1</v>
      </c>
      <c r="C53" s="72" t="s">
        <v>95</v>
      </c>
      <c r="D53" s="73">
        <v>49</v>
      </c>
      <c r="E53" s="74">
        <v>41.248699999999999</v>
      </c>
      <c r="F53" s="75">
        <v>34.33</v>
      </c>
      <c r="G53" s="76">
        <v>100</v>
      </c>
      <c r="H53" s="73">
        <v>96.64</v>
      </c>
      <c r="I53" s="73">
        <v>94.77</v>
      </c>
      <c r="J53" s="73">
        <v>90.92</v>
      </c>
      <c r="K53" s="73">
        <v>82.99</v>
      </c>
      <c r="L53" s="73">
        <v>71.73</v>
      </c>
      <c r="M53" s="73">
        <v>64.28</v>
      </c>
      <c r="N53" s="73">
        <v>59.06</v>
      </c>
      <c r="O53" s="73">
        <v>55.18</v>
      </c>
      <c r="P53" s="73">
        <v>53.07</v>
      </c>
      <c r="Q53" s="49"/>
      <c r="R53" s="21">
        <f t="shared" si="3"/>
        <v>0</v>
      </c>
      <c r="S53" s="21">
        <f t="shared" si="4"/>
        <v>7.7117282533853554E-2</v>
      </c>
      <c r="T53" s="21">
        <f t="shared" si="5"/>
        <v>0.12541966426858525</v>
      </c>
      <c r="U53" s="21">
        <f t="shared" si="6"/>
        <v>0.23989431968295899</v>
      </c>
      <c r="V53" s="21">
        <f t="shared" si="7"/>
        <v>0.56851604278074896</v>
      </c>
      <c r="W53" s="21">
        <f t="shared" si="8"/>
        <v>1.5150053590568056</v>
      </c>
      <c r="X53" s="21">
        <f t="shared" si="9"/>
        <v>3.1864406779661012</v>
      </c>
      <c r="Y53" s="21">
        <f t="shared" si="10"/>
        <v>6.8347245409015001</v>
      </c>
      <c r="Z53" s="21">
        <f t="shared" si="11"/>
        <v>21.241706161137447</v>
      </c>
      <c r="AA53" s="23">
        <f t="shared" si="12"/>
        <v>0.6622047558118126</v>
      </c>
      <c r="AB53" s="23" cm="1">
        <f t="array" ref="AB53">EXP(INDEX(LINEST(LN($H$2:$O$2),LN(S53:Z53)),1,2))</f>
        <v>0.10628747471177724</v>
      </c>
      <c r="AC53" s="145">
        <v>0.71</v>
      </c>
      <c r="AD53" s="145">
        <f t="shared" si="13"/>
        <v>0.13313603606270866</v>
      </c>
      <c r="AE53" s="145">
        <f t="shared" si="14"/>
        <v>52.927350357660714</v>
      </c>
      <c r="AG53" s="143">
        <f t="shared" si="27"/>
        <v>99.952097210844485</v>
      </c>
      <c r="AH53" s="143">
        <f t="shared" si="27"/>
        <v>97.733699319123943</v>
      </c>
      <c r="AI53" s="143">
        <f t="shared" si="27"/>
        <v>95.500395413302414</v>
      </c>
      <c r="AJ53" s="143">
        <f t="shared" si="27"/>
        <v>91.175135738424245</v>
      </c>
      <c r="AK53" s="143">
        <f t="shared" si="27"/>
        <v>84.379576765468613</v>
      </c>
      <c r="AL53" s="143">
        <f t="shared" si="27"/>
        <v>75.749475887853876</v>
      </c>
      <c r="AM53" s="143">
        <f t="shared" si="27"/>
        <v>67.338768800045997</v>
      </c>
      <c r="AN53" s="143">
        <f t="shared" si="27"/>
        <v>61.031369830728991</v>
      </c>
      <c r="AO53" s="143">
        <f t="shared" si="27"/>
        <v>57.072332106647579</v>
      </c>
      <c r="AP53" s="143">
        <f t="shared" si="27"/>
        <v>54.962807581573387</v>
      </c>
      <c r="AQ53" s="140">
        <f t="shared" si="16"/>
        <v>2.4601379403683326</v>
      </c>
      <c r="AT53">
        <f t="shared" si="17"/>
        <v>4.7902789155514826E-4</v>
      </c>
      <c r="AU53">
        <f t="shared" si="18"/>
        <v>1.1317252888285827E-2</v>
      </c>
      <c r="AV53">
        <f t="shared" si="19"/>
        <v>7.707031901471117E-3</v>
      </c>
      <c r="AW53">
        <f t="shared" si="20"/>
        <v>2.806156383900612E-3</v>
      </c>
      <c r="AX53">
        <f t="shared" si="21"/>
        <v>1.674390607866753E-2</v>
      </c>
      <c r="AY53">
        <f t="shared" si="22"/>
        <v>5.6036189709380617E-2</v>
      </c>
      <c r="AZ53">
        <f t="shared" si="23"/>
        <v>4.7585077785407534E-2</v>
      </c>
      <c r="BA53">
        <f t="shared" si="24"/>
        <v>3.3379103127818978E-2</v>
      </c>
      <c r="BB53">
        <f t="shared" si="25"/>
        <v>3.4293804034932575E-2</v>
      </c>
      <c r="BC53">
        <f t="shared" si="26"/>
        <v>3.5666244235413348E-2</v>
      </c>
    </row>
    <row r="54" spans="1:55" x14ac:dyDescent="0.35">
      <c r="A54" s="73" t="s">
        <v>48</v>
      </c>
      <c r="B54" s="73">
        <v>1</v>
      </c>
      <c r="C54" s="72" t="s">
        <v>96</v>
      </c>
      <c r="D54" s="73">
        <v>50</v>
      </c>
      <c r="E54" s="74">
        <v>56.128</v>
      </c>
      <c r="F54" s="75">
        <v>33.49</v>
      </c>
      <c r="G54" s="76">
        <v>100</v>
      </c>
      <c r="H54" s="73">
        <v>97.21</v>
      </c>
      <c r="I54" s="73">
        <v>95.34</v>
      </c>
      <c r="J54" s="73">
        <v>92.53</v>
      </c>
      <c r="K54" s="73">
        <v>81.87</v>
      </c>
      <c r="L54" s="73">
        <v>69.31</v>
      </c>
      <c r="M54" s="73">
        <v>59.66</v>
      </c>
      <c r="N54" s="73">
        <v>52.5</v>
      </c>
      <c r="O54" s="73">
        <v>48.47</v>
      </c>
      <c r="P54" s="73">
        <v>46.11</v>
      </c>
      <c r="Q54" s="49"/>
      <c r="R54" s="21">
        <f t="shared" si="3"/>
        <v>0</v>
      </c>
      <c r="S54" s="21">
        <f t="shared" si="4"/>
        <v>5.4598825831702676E-2</v>
      </c>
      <c r="T54" s="21">
        <f t="shared" si="5"/>
        <v>9.4657729027015969E-2</v>
      </c>
      <c r="U54" s="21">
        <f t="shared" si="6"/>
        <v>0.16092201637225331</v>
      </c>
      <c r="V54" s="21">
        <f t="shared" si="7"/>
        <v>0.50699105145413847</v>
      </c>
      <c r="W54" s="21">
        <f t="shared" si="8"/>
        <v>1.3228448275862066</v>
      </c>
      <c r="X54" s="21">
        <f t="shared" si="9"/>
        <v>2.9771217712177132</v>
      </c>
      <c r="Y54" s="21">
        <f t="shared" si="10"/>
        <v>7.4334898278560244</v>
      </c>
      <c r="Z54" s="21">
        <f t="shared" si="11"/>
        <v>21.834745762711869</v>
      </c>
      <c r="AA54" s="23">
        <f t="shared" si="12"/>
        <v>0.61296846255796156</v>
      </c>
      <c r="AB54" s="23" cm="1">
        <f t="array" ref="AB54">EXP(INDEX(LINEST(LN($H$2:$O$2),LN(S54:Z54)),1,2))</f>
        <v>0.11675842268615114</v>
      </c>
      <c r="AC54" s="145">
        <v>0.71</v>
      </c>
      <c r="AD54" s="145">
        <f t="shared" si="13"/>
        <v>0.12089986917760528</v>
      </c>
      <c r="AE54" s="145">
        <f t="shared" si="14"/>
        <v>50.084986095593599</v>
      </c>
      <c r="AG54" s="143">
        <f t="shared" si="27"/>
        <v>99.941825773440144</v>
      </c>
      <c r="AH54" s="143">
        <f t="shared" si="27"/>
        <v>97.266486297509701</v>
      </c>
      <c r="AI54" s="143">
        <f t="shared" si="27"/>
        <v>94.609706926330915</v>
      </c>
      <c r="AJ54" s="143">
        <f t="shared" si="27"/>
        <v>89.565795862469983</v>
      </c>
      <c r="AK54" s="143">
        <f t="shared" si="27"/>
        <v>81.900890331972505</v>
      </c>
      <c r="AL54" s="143">
        <f t="shared" si="27"/>
        <v>72.598342799267655</v>
      </c>
      <c r="AM54" s="143">
        <f t="shared" si="27"/>
        <v>63.965859809237955</v>
      </c>
      <c r="AN54" s="143">
        <f t="shared" si="27"/>
        <v>57.754894807262303</v>
      </c>
      <c r="AO54" s="143">
        <f t="shared" si="27"/>
        <v>53.965565731898963</v>
      </c>
      <c r="AP54" s="143">
        <f t="shared" si="27"/>
        <v>51.979701512394648</v>
      </c>
      <c r="AQ54" s="140">
        <f t="shared" si="16"/>
        <v>5.0162416799997072</v>
      </c>
      <c r="AT54">
        <f t="shared" si="17"/>
        <v>5.8174226559856376E-4</v>
      </c>
      <c r="AU54">
        <f t="shared" si="18"/>
        <v>5.8107496666708297E-4</v>
      </c>
      <c r="AV54">
        <f t="shared" si="19"/>
        <v>7.6598812006407405E-3</v>
      </c>
      <c r="AW54">
        <f t="shared" si="20"/>
        <v>3.2035060386145231E-2</v>
      </c>
      <c r="AX54">
        <f t="shared" si="21"/>
        <v>3.7730953917797071E-4</v>
      </c>
      <c r="AY54">
        <f t="shared" si="22"/>
        <v>4.7443987869970464E-2</v>
      </c>
      <c r="AZ54">
        <f t="shared" si="23"/>
        <v>7.2173312256754246E-2</v>
      </c>
      <c r="BA54">
        <f t="shared" si="24"/>
        <v>0.10009323442404387</v>
      </c>
      <c r="BB54">
        <f t="shared" si="25"/>
        <v>0.11338076608002813</v>
      </c>
      <c r="BC54">
        <f t="shared" si="26"/>
        <v>0.12729779901094446</v>
      </c>
    </row>
    <row r="55" spans="1:55" x14ac:dyDescent="0.35">
      <c r="A55" s="73" t="s">
        <v>48</v>
      </c>
      <c r="B55" s="73">
        <v>1</v>
      </c>
      <c r="C55" s="72" t="s">
        <v>96</v>
      </c>
      <c r="D55" s="73">
        <v>51</v>
      </c>
      <c r="E55" s="74">
        <v>27.78</v>
      </c>
      <c r="F55" s="75">
        <v>33.630000000000003</v>
      </c>
      <c r="G55" s="76">
        <v>100</v>
      </c>
      <c r="H55" s="73">
        <v>95.71</v>
      </c>
      <c r="I55" s="73">
        <v>94.69</v>
      </c>
      <c r="J55" s="73">
        <v>93.27</v>
      </c>
      <c r="K55" s="73">
        <v>90.48</v>
      </c>
      <c r="L55" s="73">
        <v>83.42</v>
      </c>
      <c r="M55" s="73">
        <v>72.86</v>
      </c>
      <c r="N55" s="73">
        <v>64.11</v>
      </c>
      <c r="O55" s="73">
        <v>58.47</v>
      </c>
      <c r="P55" s="73">
        <v>55.47</v>
      </c>
      <c r="Q55" s="49"/>
      <c r="R55" s="21">
        <f t="shared" si="3"/>
        <v>0</v>
      </c>
      <c r="S55" s="21">
        <f t="shared" si="4"/>
        <v>0.10661033797216717</v>
      </c>
      <c r="T55" s="21">
        <f t="shared" si="5"/>
        <v>0.13539010708822036</v>
      </c>
      <c r="U55" s="21">
        <f t="shared" si="6"/>
        <v>0.17804232804232817</v>
      </c>
      <c r="V55" s="21">
        <f t="shared" si="7"/>
        <v>0.27192230791202499</v>
      </c>
      <c r="W55" s="21">
        <f t="shared" si="8"/>
        <v>0.59320214669051863</v>
      </c>
      <c r="X55" s="21">
        <f t="shared" si="9"/>
        <v>1.5606670500287521</v>
      </c>
      <c r="Y55" s="21">
        <f t="shared" si="10"/>
        <v>4.1539351851851851</v>
      </c>
      <c r="Z55" s="21">
        <f t="shared" si="11"/>
        <v>13.843333333333334</v>
      </c>
      <c r="AA55" s="23">
        <f t="shared" si="12"/>
        <v>0.72698745855738012</v>
      </c>
      <c r="AB55" s="23" cm="1">
        <f t="array" ref="AB55">EXP(INDEX(LINEST(LN($H$2:$O$2),LN(S55:Z55)),1,2))</f>
        <v>0.14241565257847194</v>
      </c>
      <c r="AC55" s="145">
        <v>0.71</v>
      </c>
      <c r="AD55" s="145">
        <f t="shared" si="13"/>
        <v>0.15067140704370413</v>
      </c>
      <c r="AE55" s="145">
        <f t="shared" si="14"/>
        <v>56.575208839153845</v>
      </c>
      <c r="AG55" s="143">
        <f t="shared" si="27"/>
        <v>99.962870665034302</v>
      </c>
      <c r="AH55" s="143">
        <f t="shared" si="27"/>
        <v>98.230053728225229</v>
      </c>
      <c r="AI55" s="143">
        <f t="shared" si="27"/>
        <v>96.458799806469031</v>
      </c>
      <c r="AJ55" s="143">
        <f t="shared" si="27"/>
        <v>92.949595849370354</v>
      </c>
      <c r="AK55" s="143">
        <f t="shared" si="27"/>
        <v>87.21618266019486</v>
      </c>
      <c r="AL55" s="143">
        <f t="shared" si="27"/>
        <v>79.51910833871176</v>
      </c>
      <c r="AM55" s="143">
        <f t="shared" si="27"/>
        <v>71.529203117808748</v>
      </c>
      <c r="AN55" s="143">
        <f t="shared" si="27"/>
        <v>65.192035782162009</v>
      </c>
      <c r="AO55" s="143">
        <f t="shared" si="27"/>
        <v>61.051880401199789</v>
      </c>
      <c r="AP55" s="143">
        <f t="shared" si="27"/>
        <v>58.792149373958054</v>
      </c>
      <c r="AQ55" s="140">
        <f t="shared" si="16"/>
        <v>2.708420413863232</v>
      </c>
      <c r="AT55">
        <f t="shared" si="17"/>
        <v>3.7129334965698037E-4</v>
      </c>
      <c r="AU55">
        <f t="shared" si="18"/>
        <v>2.6330098508256565E-2</v>
      </c>
      <c r="AV55">
        <f t="shared" si="19"/>
        <v>1.8679900797011654E-2</v>
      </c>
      <c r="AW55">
        <f t="shared" si="20"/>
        <v>3.4352326646257319E-3</v>
      </c>
      <c r="AX55">
        <f t="shared" si="21"/>
        <v>3.6072251766193011E-2</v>
      </c>
      <c r="AY55">
        <f t="shared" si="22"/>
        <v>4.6762067385378102E-2</v>
      </c>
      <c r="AZ55">
        <f t="shared" si="23"/>
        <v>1.8265123280143441E-2</v>
      </c>
      <c r="BA55">
        <f t="shared" si="24"/>
        <v>1.6877800376883627E-2</v>
      </c>
      <c r="BB55">
        <f t="shared" si="25"/>
        <v>4.4157352508975373E-2</v>
      </c>
      <c r="BC55">
        <f t="shared" si="26"/>
        <v>5.9890920749198759E-2</v>
      </c>
    </row>
    <row r="56" spans="1:55" x14ac:dyDescent="0.35">
      <c r="A56" s="73" t="s">
        <v>48</v>
      </c>
      <c r="B56" s="73">
        <v>1</v>
      </c>
      <c r="C56" s="72" t="s">
        <v>96</v>
      </c>
      <c r="D56" s="73">
        <v>52</v>
      </c>
      <c r="E56" s="74">
        <v>261.74700000000001</v>
      </c>
      <c r="F56" s="75">
        <v>34.17</v>
      </c>
      <c r="G56" s="76">
        <v>100</v>
      </c>
      <c r="H56" s="73">
        <v>90.52</v>
      </c>
      <c r="I56" s="73">
        <v>84.82</v>
      </c>
      <c r="J56" s="73">
        <v>72.319999999999993</v>
      </c>
      <c r="K56" s="73">
        <v>60.41</v>
      </c>
      <c r="L56" s="73">
        <v>51.78</v>
      </c>
      <c r="M56" s="73">
        <v>46.26</v>
      </c>
      <c r="N56" s="73">
        <v>42.25</v>
      </c>
      <c r="O56" s="73">
        <v>39.549999999999997</v>
      </c>
      <c r="P56" s="73">
        <v>37.86</v>
      </c>
      <c r="Q56" s="49"/>
      <c r="R56" s="21">
        <f t="shared" si="3"/>
        <v>0</v>
      </c>
      <c r="S56" s="21">
        <f t="shared" si="4"/>
        <v>0.18002278769464497</v>
      </c>
      <c r="T56" s="21">
        <f t="shared" si="5"/>
        <v>0.32325383304940392</v>
      </c>
      <c r="U56" s="21">
        <f t="shared" si="6"/>
        <v>0.80325014509576353</v>
      </c>
      <c r="V56" s="21">
        <f t="shared" si="7"/>
        <v>1.7556541019955658</v>
      </c>
      <c r="W56" s="21">
        <f t="shared" si="8"/>
        <v>3.4640804597701145</v>
      </c>
      <c r="X56" s="21">
        <f t="shared" si="9"/>
        <v>6.3976190476190489</v>
      </c>
      <c r="Y56" s="21">
        <f t="shared" si="10"/>
        <v>13.154897494305237</v>
      </c>
      <c r="Z56" s="21">
        <f t="shared" si="11"/>
        <v>35.769230769230816</v>
      </c>
      <c r="AA56" s="23">
        <f t="shared" si="12"/>
        <v>0.72471558339354647</v>
      </c>
      <c r="AB56" s="23" cm="1">
        <f t="array" ref="AB56">EXP(INDEX(LINEST(LN($H$2:$O$2),LN(S56:Z56)),1,2))</f>
        <v>5.7282114263043665E-2</v>
      </c>
      <c r="AC56" s="145">
        <v>0.71</v>
      </c>
      <c r="AD56" s="145">
        <f t="shared" si="13"/>
        <v>7.4665857895598556E-2</v>
      </c>
      <c r="AE56" s="145">
        <f t="shared" si="14"/>
        <v>35.876232232150116</v>
      </c>
      <c r="AG56" s="143">
        <f t="shared" si="27"/>
        <v>99.852829402481703</v>
      </c>
      <c r="AH56" s="143">
        <f t="shared" si="27"/>
        <v>93.426578310590429</v>
      </c>
      <c r="AI56" s="143">
        <f t="shared" si="27"/>
        <v>87.644304172851122</v>
      </c>
      <c r="AJ56" s="143">
        <f t="shared" si="27"/>
        <v>78.03420118642849</v>
      </c>
      <c r="AK56" s="143">
        <f t="shared" si="27"/>
        <v>66.101622848811303</v>
      </c>
      <c r="AL56" s="143">
        <f t="shared" si="27"/>
        <v>54.738635379039444</v>
      </c>
      <c r="AM56" s="143">
        <f t="shared" si="27"/>
        <v>46.357576488741131</v>
      </c>
      <c r="AN56" s="143">
        <f t="shared" si="27"/>
        <v>41.283523239322697</v>
      </c>
      <c r="AO56" s="143">
        <f t="shared" si="27"/>
        <v>38.50562310411992</v>
      </c>
      <c r="AP56" s="143">
        <f t="shared" si="27"/>
        <v>37.134398861219921</v>
      </c>
      <c r="AQ56" s="140">
        <f t="shared" si="16"/>
        <v>3.6780336441867698</v>
      </c>
      <c r="AT56">
        <f t="shared" si="17"/>
        <v>1.4717059751829709E-3</v>
      </c>
      <c r="AU56">
        <f t="shared" si="18"/>
        <v>3.2109791323358741E-2</v>
      </c>
      <c r="AV56">
        <f t="shared" si="19"/>
        <v>3.3297620524064243E-2</v>
      </c>
      <c r="AW56">
        <f t="shared" si="20"/>
        <v>7.901273764419936E-2</v>
      </c>
      <c r="AX56">
        <f t="shared" si="21"/>
        <v>9.4216567601577664E-2</v>
      </c>
      <c r="AY56">
        <f t="shared" si="22"/>
        <v>5.7138574334481315E-2</v>
      </c>
      <c r="AZ56">
        <f t="shared" si="23"/>
        <v>2.109305852596909E-3</v>
      </c>
      <c r="BA56">
        <f t="shared" si="24"/>
        <v>2.2875189601829646E-2</v>
      </c>
      <c r="BB56">
        <f t="shared" si="25"/>
        <v>2.6406495471051263E-2</v>
      </c>
      <c r="BC56">
        <f t="shared" si="26"/>
        <v>1.9165376090334873E-2</v>
      </c>
    </row>
    <row r="57" spans="1:55" ht="15.5" x14ac:dyDescent="0.35">
      <c r="A57" s="73" t="s">
        <v>48</v>
      </c>
      <c r="B57" s="73">
        <v>1</v>
      </c>
      <c r="C57" s="72" t="s">
        <v>96</v>
      </c>
      <c r="D57" s="73">
        <v>53</v>
      </c>
      <c r="E57" s="75">
        <v>19.635000000000002</v>
      </c>
      <c r="F57" s="75">
        <v>30.67</v>
      </c>
      <c r="G57" s="76">
        <v>100</v>
      </c>
      <c r="H57" s="73">
        <v>98.01</v>
      </c>
      <c r="I57" s="73">
        <v>96.55</v>
      </c>
      <c r="J57" s="73">
        <v>95.13</v>
      </c>
      <c r="K57" s="73">
        <v>92.31</v>
      </c>
      <c r="L57" s="73">
        <v>86.85</v>
      </c>
      <c r="M57" s="73">
        <v>77.27</v>
      </c>
      <c r="N57" s="73">
        <v>68.05</v>
      </c>
      <c r="O57" s="73">
        <v>60.07</v>
      </c>
      <c r="P57" s="73">
        <v>55.47</v>
      </c>
      <c r="Q57" s="55"/>
      <c r="R57" s="21">
        <f t="shared" si="3"/>
        <v>0</v>
      </c>
      <c r="S57" s="21">
        <f t="shared" si="4"/>
        <v>4.677950164550998E-2</v>
      </c>
      <c r="T57" s="21">
        <f t="shared" si="5"/>
        <v>8.3982473222979623E-2</v>
      </c>
      <c r="U57" s="21">
        <f t="shared" si="6"/>
        <v>0.12279374684820991</v>
      </c>
      <c r="V57" s="21">
        <f t="shared" si="7"/>
        <v>0.20874049945711176</v>
      </c>
      <c r="W57" s="21">
        <f t="shared" si="8"/>
        <v>0.41905672402804356</v>
      </c>
      <c r="X57" s="21">
        <f t="shared" si="9"/>
        <v>1.0426605504587159</v>
      </c>
      <c r="Y57" s="21">
        <f t="shared" si="10"/>
        <v>2.5397456279809227</v>
      </c>
      <c r="Z57" s="21">
        <f t="shared" si="11"/>
        <v>8.6804347826086925</v>
      </c>
      <c r="AA57" s="23">
        <f t="shared" si="12"/>
        <v>0.72451919450020807</v>
      </c>
      <c r="AB57" s="23" cm="1">
        <f t="array" ref="AB57">EXP(INDEX(LINEST(LN($H$2:$O$2),LN(S57:Z57)),1,2))</f>
        <v>0.19794874600853435</v>
      </c>
      <c r="AC57" s="145">
        <v>0.71</v>
      </c>
      <c r="AD57" s="145">
        <f t="shared" si="13"/>
        <v>0.16795787141649399</v>
      </c>
      <c r="AE57" s="145">
        <f t="shared" si="14"/>
        <v>59.777349286859405</v>
      </c>
      <c r="AG57" s="143">
        <f t="shared" si="27"/>
        <v>99.970483364322419</v>
      </c>
      <c r="AH57" s="143">
        <f t="shared" si="27"/>
        <v>98.58493859441495</v>
      </c>
      <c r="AI57" s="143">
        <f t="shared" si="27"/>
        <v>97.152259311482027</v>
      </c>
      <c r="AJ57" s="143">
        <f t="shared" si="27"/>
        <v>94.263725221520659</v>
      </c>
      <c r="AK57" s="143">
        <f t="shared" si="27"/>
        <v>89.395683501600459</v>
      </c>
      <c r="AL57" s="143">
        <f t="shared" si="27"/>
        <v>82.553097350685491</v>
      </c>
      <c r="AM57" s="143">
        <f t="shared" si="27"/>
        <v>75.04890188150614</v>
      </c>
      <c r="AN57" s="143">
        <f t="shared" si="27"/>
        <v>68.782690262338434</v>
      </c>
      <c r="AO57" s="143">
        <f t="shared" si="27"/>
        <v>64.528359395698814</v>
      </c>
      <c r="AP57" s="143">
        <f t="shared" si="27"/>
        <v>62.150216431452904</v>
      </c>
      <c r="AQ57" s="140">
        <f t="shared" si="16"/>
        <v>3.3671160085372991</v>
      </c>
      <c r="AT57">
        <f t="shared" si="17"/>
        <v>2.9516635677580896E-4</v>
      </c>
      <c r="AU57">
        <f t="shared" si="18"/>
        <v>5.8661217673191017E-3</v>
      </c>
      <c r="AV57">
        <f t="shared" si="19"/>
        <v>6.2377971152980799E-3</v>
      </c>
      <c r="AW57">
        <f t="shared" si="20"/>
        <v>9.1062207345667702E-3</v>
      </c>
      <c r="AX57">
        <f t="shared" si="21"/>
        <v>3.1570972791675263E-2</v>
      </c>
      <c r="AY57">
        <f t="shared" si="22"/>
        <v>4.947498732659187E-2</v>
      </c>
      <c r="AZ57">
        <f t="shared" si="23"/>
        <v>2.8744637226528487E-2</v>
      </c>
      <c r="BA57">
        <f t="shared" si="24"/>
        <v>1.0766939931497974E-2</v>
      </c>
      <c r="BB57">
        <f t="shared" si="25"/>
        <v>7.4219400627581381E-2</v>
      </c>
      <c r="BC57">
        <f t="shared" si="26"/>
        <v>0.12042935697589517</v>
      </c>
    </row>
    <row r="58" spans="1:55" x14ac:dyDescent="0.35">
      <c r="A58" s="73" t="s">
        <v>48</v>
      </c>
      <c r="B58" s="73">
        <v>1</v>
      </c>
      <c r="C58" s="72" t="s">
        <v>96</v>
      </c>
      <c r="D58" s="73">
        <v>54</v>
      </c>
      <c r="E58" s="75">
        <v>5.5419999999999998</v>
      </c>
      <c r="F58" s="75">
        <v>30.12</v>
      </c>
      <c r="G58" s="76">
        <v>100</v>
      </c>
      <c r="H58" s="73">
        <v>98.93</v>
      </c>
      <c r="I58" s="73">
        <v>98.1</v>
      </c>
      <c r="J58" s="73">
        <v>97.5</v>
      </c>
      <c r="K58" s="73">
        <v>97.02</v>
      </c>
      <c r="L58" s="73">
        <v>94.98</v>
      </c>
      <c r="M58" s="73">
        <v>89.44</v>
      </c>
      <c r="N58" s="73">
        <v>81.34</v>
      </c>
      <c r="O58" s="73">
        <v>74.14</v>
      </c>
      <c r="P58" s="73">
        <v>68.89</v>
      </c>
      <c r="Q58" s="49"/>
      <c r="R58" s="21">
        <f t="shared" si="3"/>
        <v>0</v>
      </c>
      <c r="S58" s="21">
        <f t="shared" si="4"/>
        <v>3.5619174434087651E-2</v>
      </c>
      <c r="T58" s="21">
        <f t="shared" si="5"/>
        <v>6.5046217048956051E-2</v>
      </c>
      <c r="U58" s="21">
        <f t="shared" si="6"/>
        <v>8.7382034253757429E-2</v>
      </c>
      <c r="V58" s="21">
        <f t="shared" si="7"/>
        <v>0.10593672236046942</v>
      </c>
      <c r="W58" s="21">
        <f t="shared" si="8"/>
        <v>0.19241088539670353</v>
      </c>
      <c r="X58" s="21">
        <f t="shared" si="9"/>
        <v>0.51386861313868626</v>
      </c>
      <c r="Y58" s="21">
        <f t="shared" si="10"/>
        <v>1.498795180722891</v>
      </c>
      <c r="Z58" s="21">
        <f t="shared" si="11"/>
        <v>4.9257142857142853</v>
      </c>
      <c r="AA58" s="23">
        <f t="shared" si="12"/>
        <v>0.75279689533098648</v>
      </c>
      <c r="AB58" s="23" cm="1">
        <f t="array" ref="AB58">EXP(INDEX(LINEST(LN($H$2:$O$2),LN(S58:Z58)),1,2))</f>
        <v>0.29911638323434103</v>
      </c>
      <c r="AC58" s="145">
        <v>0.71</v>
      </c>
      <c r="AD58" s="145">
        <f t="shared" si="13"/>
        <v>0.24954646047781312</v>
      </c>
      <c r="AE58" s="145">
        <f t="shared" si="14"/>
        <v>71.450383940244421</v>
      </c>
      <c r="AG58" s="143">
        <f t="shared" si="27"/>
        <v>99.98800091562866</v>
      </c>
      <c r="AH58" s="143">
        <f t="shared" si="27"/>
        <v>99.416150690353746</v>
      </c>
      <c r="AI58" s="143">
        <f t="shared" si="27"/>
        <v>98.806585002983368</v>
      </c>
      <c r="AJ58" s="143">
        <f t="shared" si="27"/>
        <v>97.517491981543799</v>
      </c>
      <c r="AK58" s="143">
        <f t="shared" si="27"/>
        <v>95.143163487950815</v>
      </c>
      <c r="AL58" s="143">
        <f t="shared" si="27"/>
        <v>91.295905129823183</v>
      </c>
      <c r="AM58" s="143">
        <f t="shared" si="27"/>
        <v>86.20125550875639</v>
      </c>
      <c r="AN58" s="143">
        <f t="shared" si="27"/>
        <v>81.015473464269689</v>
      </c>
      <c r="AO58" s="143">
        <f t="shared" si="27"/>
        <v>76.862889750449568</v>
      </c>
      <c r="AP58" s="143">
        <f t="shared" si="27"/>
        <v>74.26792007657869</v>
      </c>
      <c r="AQ58" s="140">
        <f t="shared" si="16"/>
        <v>2.2554190432550572</v>
      </c>
      <c r="AT58">
        <f t="shared" si="17"/>
        <v>1.1999084371339564E-4</v>
      </c>
      <c r="AU58">
        <f t="shared" si="18"/>
        <v>4.9140876412992916E-3</v>
      </c>
      <c r="AV58">
        <f t="shared" si="19"/>
        <v>7.2027013555899496E-3</v>
      </c>
      <c r="AW58">
        <f t="shared" si="20"/>
        <v>1.7940493891075723E-4</v>
      </c>
      <c r="AX58">
        <f t="shared" si="21"/>
        <v>1.9344841394034022E-2</v>
      </c>
      <c r="AY58">
        <f t="shared" si="22"/>
        <v>3.8788111920160254E-2</v>
      </c>
      <c r="AZ58">
        <f t="shared" si="23"/>
        <v>3.6211365063099375E-2</v>
      </c>
      <c r="BA58">
        <f t="shared" si="24"/>
        <v>3.9897533283785834E-3</v>
      </c>
      <c r="BB58">
        <f t="shared" si="25"/>
        <v>3.6726325201639702E-2</v>
      </c>
      <c r="BC58">
        <f t="shared" si="26"/>
        <v>7.8065322638680351E-2</v>
      </c>
    </row>
    <row r="59" spans="1:55" x14ac:dyDescent="0.35">
      <c r="A59" s="73" t="s">
        <v>48</v>
      </c>
      <c r="B59" s="73">
        <v>1</v>
      </c>
      <c r="C59" s="72" t="s">
        <v>96</v>
      </c>
      <c r="D59" s="73">
        <v>55</v>
      </c>
      <c r="E59" s="75">
        <v>7.1840000000000002</v>
      </c>
      <c r="F59" s="75">
        <v>28.9</v>
      </c>
      <c r="G59" s="76">
        <v>100</v>
      </c>
      <c r="H59" s="73">
        <v>98.28</v>
      </c>
      <c r="I59" s="73">
        <v>97.3</v>
      </c>
      <c r="J59" s="73">
        <v>96.1</v>
      </c>
      <c r="K59" s="73">
        <v>95.32</v>
      </c>
      <c r="L59" s="73">
        <v>93.4</v>
      </c>
      <c r="M59" s="73">
        <v>90.27</v>
      </c>
      <c r="N59" s="73">
        <v>83.2</v>
      </c>
      <c r="O59" s="73">
        <v>76</v>
      </c>
      <c r="P59" s="73">
        <v>71.64</v>
      </c>
      <c r="R59" s="21">
        <f t="shared" si="3"/>
        <v>0</v>
      </c>
      <c r="S59" s="21">
        <f t="shared" si="4"/>
        <v>6.4564564564564525E-2</v>
      </c>
      <c r="T59" s="21">
        <f t="shared" si="5"/>
        <v>0.1052221356196416</v>
      </c>
      <c r="U59" s="21">
        <f t="shared" si="6"/>
        <v>0.15944399018806241</v>
      </c>
      <c r="V59" s="21">
        <f t="shared" si="7"/>
        <v>0.19763513513513548</v>
      </c>
      <c r="W59" s="21">
        <f t="shared" si="8"/>
        <v>0.30330882352941141</v>
      </c>
      <c r="X59" s="21">
        <f t="shared" si="9"/>
        <v>0.52227589908749361</v>
      </c>
      <c r="Y59" s="21">
        <f t="shared" si="10"/>
        <v>1.4532871972318333</v>
      </c>
      <c r="Z59" s="21">
        <f t="shared" si="11"/>
        <v>5.5045871559633035</v>
      </c>
      <c r="AA59" s="23">
        <f t="shared" si="12"/>
        <v>0.86636497545892521</v>
      </c>
      <c r="AB59" s="23" cm="1">
        <f t="array" ref="AB59">EXP(INDEX(LINEST(LN($H$2:$O$2),LN(S59:Z59)),1,2))</f>
        <v>0.25698258588218026</v>
      </c>
      <c r="AC59" s="145">
        <v>0.71</v>
      </c>
      <c r="AD59" s="145">
        <f t="shared" si="13"/>
        <v>0.23007867952775218</v>
      </c>
      <c r="AE59" s="145">
        <f t="shared" si="14"/>
        <v>69.05570977753294</v>
      </c>
      <c r="AG59" s="143">
        <f t="shared" si="27"/>
        <v>99.985418930138266</v>
      </c>
      <c r="AH59" s="143">
        <f t="shared" si="27"/>
        <v>99.292235015157416</v>
      </c>
      <c r="AI59" s="143">
        <f t="shared" si="27"/>
        <v>98.557020478305517</v>
      </c>
      <c r="AJ59" s="143">
        <f t="shared" si="27"/>
        <v>97.014610182241881</v>
      </c>
      <c r="AK59" s="143">
        <f t="shared" si="27"/>
        <v>94.216996336917191</v>
      </c>
      <c r="AL59" s="143">
        <f t="shared" si="27"/>
        <v>89.799328206258977</v>
      </c>
      <c r="AM59" s="143">
        <f t="shared" si="27"/>
        <v>84.15910650901391</v>
      </c>
      <c r="AN59" s="143">
        <f t="shared" si="27"/>
        <v>78.649865019345413</v>
      </c>
      <c r="AO59" s="143">
        <f t="shared" si="27"/>
        <v>74.397516824839769</v>
      </c>
      <c r="AP59" s="143">
        <f t="shared" si="27"/>
        <v>71.808826390170523</v>
      </c>
      <c r="AQ59" s="140">
        <f t="shared" si="16"/>
        <v>2.2883103351253142</v>
      </c>
      <c r="AT59">
        <f t="shared" si="17"/>
        <v>1.458106986173391E-4</v>
      </c>
      <c r="AU59">
        <f t="shared" si="18"/>
        <v>1.029950157872828E-2</v>
      </c>
      <c r="AV59">
        <f t="shared" si="19"/>
        <v>1.2919018276521279E-2</v>
      </c>
      <c r="AW59">
        <f t="shared" si="20"/>
        <v>9.5172755696346211E-3</v>
      </c>
      <c r="AX59">
        <f t="shared" si="21"/>
        <v>1.1571586897637456E-2</v>
      </c>
      <c r="AY59">
        <f t="shared" si="22"/>
        <v>3.8551089868747626E-2</v>
      </c>
      <c r="AZ59">
        <f t="shared" si="23"/>
        <v>6.7695729378376937E-2</v>
      </c>
      <c r="BA59">
        <f t="shared" si="24"/>
        <v>5.4689122363636898E-2</v>
      </c>
      <c r="BB59">
        <f t="shared" si="25"/>
        <v>2.1085304936318824E-2</v>
      </c>
      <c r="BC59">
        <f t="shared" si="26"/>
        <v>2.3565939443121538E-3</v>
      </c>
    </row>
    <row r="60" spans="1:55" x14ac:dyDescent="0.35">
      <c r="A60" s="73" t="s">
        <v>48</v>
      </c>
      <c r="B60" s="73">
        <v>1</v>
      </c>
      <c r="C60" s="72" t="s">
        <v>96</v>
      </c>
      <c r="D60" s="73">
        <v>56</v>
      </c>
      <c r="E60" s="75">
        <v>15.9594</v>
      </c>
      <c r="F60" s="75">
        <v>31.93</v>
      </c>
      <c r="G60" s="76">
        <v>100</v>
      </c>
      <c r="H60" s="73">
        <v>98.11</v>
      </c>
      <c r="I60" s="73">
        <v>96.66</v>
      </c>
      <c r="J60" s="73">
        <v>95.36</v>
      </c>
      <c r="K60" s="73">
        <v>91.71</v>
      </c>
      <c r="L60" s="73">
        <v>86.18</v>
      </c>
      <c r="M60" s="73">
        <v>77.66</v>
      </c>
      <c r="N60" s="73">
        <v>70.86</v>
      </c>
      <c r="O60" s="73">
        <v>65.39</v>
      </c>
      <c r="P60" s="73">
        <v>62.39</v>
      </c>
      <c r="R60" s="21">
        <f t="shared" si="3"/>
        <v>0</v>
      </c>
      <c r="S60" s="21">
        <f t="shared" si="4"/>
        <v>5.291153415453529E-2</v>
      </c>
      <c r="T60" s="21">
        <f t="shared" si="5"/>
        <v>9.7461336445871141E-2</v>
      </c>
      <c r="U60" s="21">
        <f t="shared" si="6"/>
        <v>0.14073400060661209</v>
      </c>
      <c r="V60" s="21">
        <f t="shared" si="7"/>
        <v>0.28274215552523901</v>
      </c>
      <c r="W60" s="21">
        <f t="shared" si="8"/>
        <v>0.58091635140815423</v>
      </c>
      <c r="X60" s="21">
        <f t="shared" si="9"/>
        <v>1.4629993451211531</v>
      </c>
      <c r="Y60" s="21">
        <f t="shared" si="10"/>
        <v>3.4403778040141684</v>
      </c>
      <c r="Z60" s="21">
        <f t="shared" si="11"/>
        <v>11.536666666666667</v>
      </c>
      <c r="AA60" s="23">
        <f t="shared" si="12"/>
        <v>0.70182088045022561</v>
      </c>
      <c r="AB60" s="23" cm="1">
        <f t="array" ref="AB60">EXP(INDEX(LINEST(LN($H$2:$O$2),LN(S60:Z60)),1,2))</f>
        <v>0.16335519446730229</v>
      </c>
      <c r="AC60" s="145">
        <v>0.71</v>
      </c>
      <c r="AD60" s="145">
        <f t="shared" si="13"/>
        <v>0.17921520455120005</v>
      </c>
      <c r="AE60" s="145">
        <f t="shared" si="14"/>
        <v>61.689997080638491</v>
      </c>
      <c r="AG60" s="143">
        <f t="shared" si="27"/>
        <v>99.97434016839388</v>
      </c>
      <c r="AH60" s="143">
        <f t="shared" si="27"/>
        <v>98.766126520673893</v>
      </c>
      <c r="AI60" s="143">
        <f t="shared" si="27"/>
        <v>97.509119754230454</v>
      </c>
      <c r="AJ60" s="143">
        <f t="shared" si="27"/>
        <v>94.950697411212829</v>
      </c>
      <c r="AK60" s="143">
        <f t="shared" si="27"/>
        <v>90.564675722880324</v>
      </c>
      <c r="AL60" s="143">
        <f t="shared" si="27"/>
        <v>84.236716905703958</v>
      </c>
      <c r="AM60" s="143">
        <f t="shared" si="27"/>
        <v>77.068379462710624</v>
      </c>
      <c r="AN60" s="143">
        <f t="shared" si="27"/>
        <v>70.890664947984405</v>
      </c>
      <c r="AO60" s="143">
        <f t="shared" si="27"/>
        <v>66.592629700609109</v>
      </c>
      <c r="AP60" s="143">
        <f t="shared" si="27"/>
        <v>64.152364828662925</v>
      </c>
      <c r="AQ60" s="140">
        <f t="shared" si="16"/>
        <v>1.0974874720842485</v>
      </c>
      <c r="AT60">
        <f t="shared" si="17"/>
        <v>2.5659831606120067E-4</v>
      </c>
      <c r="AU60">
        <f t="shared" si="18"/>
        <v>6.6876620188960735E-3</v>
      </c>
      <c r="AV60">
        <f t="shared" si="19"/>
        <v>8.7846032922662704E-3</v>
      </c>
      <c r="AW60">
        <f t="shared" si="20"/>
        <v>4.2921831877849245E-3</v>
      </c>
      <c r="AX60">
        <f t="shared" si="21"/>
        <v>1.2488542984621851E-2</v>
      </c>
      <c r="AY60">
        <f t="shared" si="22"/>
        <v>2.2549119219030508E-2</v>
      </c>
      <c r="AZ60">
        <f t="shared" si="23"/>
        <v>7.6180857235304249E-3</v>
      </c>
      <c r="BA60">
        <f t="shared" si="24"/>
        <v>4.3275399357049738E-4</v>
      </c>
      <c r="BB60">
        <f t="shared" si="25"/>
        <v>1.8391645520861116E-2</v>
      </c>
      <c r="BC60">
        <f t="shared" si="26"/>
        <v>2.8247552951801966E-2</v>
      </c>
    </row>
    <row r="61" spans="1:55" x14ac:dyDescent="0.35">
      <c r="A61" s="73" t="s">
        <v>48</v>
      </c>
      <c r="B61" s="73">
        <v>1</v>
      </c>
      <c r="C61" s="72" t="s">
        <v>96</v>
      </c>
      <c r="D61" s="73">
        <v>57</v>
      </c>
      <c r="E61" s="74">
        <v>153.31780000000001</v>
      </c>
      <c r="F61" s="75">
        <v>33.380000000000003</v>
      </c>
      <c r="G61" s="76">
        <v>100</v>
      </c>
      <c r="H61" s="73">
        <v>93.81</v>
      </c>
      <c r="I61" s="73">
        <v>90.66</v>
      </c>
      <c r="J61" s="73">
        <v>83.82</v>
      </c>
      <c r="K61" s="73">
        <v>69.86</v>
      </c>
      <c r="L61" s="73">
        <v>57.06</v>
      </c>
      <c r="M61" s="73">
        <v>47.77</v>
      </c>
      <c r="N61" s="73">
        <v>40.299999999999997</v>
      </c>
      <c r="O61" s="73">
        <v>35.1</v>
      </c>
      <c r="P61" s="73">
        <v>32.1</v>
      </c>
      <c r="R61" s="21">
        <f t="shared" si="3"/>
        <v>0</v>
      </c>
      <c r="S61" s="21">
        <f t="shared" si="4"/>
        <v>0.10030789175174198</v>
      </c>
      <c r="T61" s="21">
        <f t="shared" si="5"/>
        <v>0.15949453551912576</v>
      </c>
      <c r="U61" s="21">
        <f t="shared" si="6"/>
        <v>0.31283836040216567</v>
      </c>
      <c r="V61" s="21">
        <f t="shared" si="7"/>
        <v>0.79819915254237295</v>
      </c>
      <c r="W61" s="21">
        <f t="shared" si="8"/>
        <v>1.7203525641025639</v>
      </c>
      <c r="X61" s="21">
        <f t="shared" si="9"/>
        <v>3.333120612635609</v>
      </c>
      <c r="Y61" s="21">
        <f t="shared" si="10"/>
        <v>7.280487804878053</v>
      </c>
      <c r="Z61" s="21">
        <f t="shared" si="11"/>
        <v>21.633333333333336</v>
      </c>
      <c r="AA61" s="23">
        <f t="shared" si="12"/>
        <v>0.69867360253517019</v>
      </c>
      <c r="AB61" s="23" cm="1">
        <f t="array" ref="AB61">EXP(INDEX(LINEST(LN($H$2:$O$2),LN(S61:Z61)),1,2))</f>
        <v>9.4404359500288956E-2</v>
      </c>
      <c r="AC61" s="145">
        <v>0.71</v>
      </c>
      <c r="AD61" s="145">
        <f t="shared" si="13"/>
        <v>8.8273136545828176E-2</v>
      </c>
      <c r="AE61" s="145">
        <f t="shared" si="14"/>
        <v>40.811971038755331</v>
      </c>
      <c r="AG61" s="143">
        <f t="shared" si="27"/>
        <v>99.892640173222503</v>
      </c>
      <c r="AH61" s="143">
        <f t="shared" si="27"/>
        <v>95.101572466971987</v>
      </c>
      <c r="AI61" s="143">
        <f t="shared" si="27"/>
        <v>90.610941179325039</v>
      </c>
      <c r="AJ61" s="143">
        <f t="shared" si="27"/>
        <v>82.742042227541418</v>
      </c>
      <c r="AK61" s="143">
        <f t="shared" si="27"/>
        <v>72.195834285421128</v>
      </c>
      <c r="AL61" s="143">
        <f t="shared" si="27"/>
        <v>61.253253520507677</v>
      </c>
      <c r="AM61" s="143">
        <f t="shared" si="27"/>
        <v>52.548984998437</v>
      </c>
      <c r="AN61" s="143">
        <f t="shared" si="27"/>
        <v>46.991670983885641</v>
      </c>
      <c r="AO61" s="143">
        <f t="shared" si="27"/>
        <v>43.851202159376726</v>
      </c>
      <c r="AP61" s="143">
        <f t="shared" si="27"/>
        <v>42.274473191024597</v>
      </c>
      <c r="AQ61" s="140">
        <f t="shared" si="16"/>
        <v>9.6753926622644588</v>
      </c>
      <c r="AT61">
        <f t="shared" si="17"/>
        <v>1.0735982677749689E-3</v>
      </c>
      <c r="AU61">
        <f t="shared" si="18"/>
        <v>1.3767961485683669E-2</v>
      </c>
      <c r="AV61">
        <f t="shared" si="19"/>
        <v>5.4112972286518655E-4</v>
      </c>
      <c r="AW61">
        <f t="shared" si="20"/>
        <v>1.2860388600078442E-2</v>
      </c>
      <c r="AX61">
        <f t="shared" si="21"/>
        <v>3.3435933086474787E-2</v>
      </c>
      <c r="AY61">
        <f t="shared" si="22"/>
        <v>7.3488494926527773E-2</v>
      </c>
      <c r="AZ61">
        <f t="shared" si="23"/>
        <v>0.10004155324339535</v>
      </c>
      <c r="BA61">
        <f t="shared" si="24"/>
        <v>0.16604642639914749</v>
      </c>
      <c r="BB61">
        <f t="shared" si="25"/>
        <v>0.24932199884264172</v>
      </c>
      <c r="BC61">
        <f t="shared" si="26"/>
        <v>0.31696178165185657</v>
      </c>
    </row>
    <row r="62" spans="1:55" x14ac:dyDescent="0.35">
      <c r="A62" s="73" t="s">
        <v>48</v>
      </c>
      <c r="B62" s="73">
        <v>1</v>
      </c>
      <c r="C62" s="72" t="s">
        <v>96</v>
      </c>
      <c r="D62" s="73">
        <v>58</v>
      </c>
      <c r="E62" s="74">
        <v>187.559</v>
      </c>
      <c r="F62" s="75">
        <v>33.74</v>
      </c>
      <c r="G62" s="76">
        <v>100</v>
      </c>
      <c r="H62" s="73">
        <v>94.23</v>
      </c>
      <c r="I62" s="73">
        <v>91.07</v>
      </c>
      <c r="J62" s="73">
        <v>81.61</v>
      </c>
      <c r="K62" s="73">
        <v>66.31</v>
      </c>
      <c r="L62" s="73">
        <v>54.85</v>
      </c>
      <c r="M62" s="73">
        <v>46.5</v>
      </c>
      <c r="N62" s="73">
        <v>40.14</v>
      </c>
      <c r="O62" s="73">
        <v>35.96</v>
      </c>
      <c r="P62" s="73">
        <v>33.4</v>
      </c>
      <c r="R62" s="21">
        <f t="shared" si="3"/>
        <v>0</v>
      </c>
      <c r="S62" s="21">
        <f t="shared" si="4"/>
        <v>9.4854512576031488E-2</v>
      </c>
      <c r="T62" s="21">
        <f t="shared" si="5"/>
        <v>0.15484654066238959</v>
      </c>
      <c r="U62" s="21">
        <f t="shared" si="6"/>
        <v>0.38145612943372742</v>
      </c>
      <c r="V62" s="21">
        <f t="shared" si="7"/>
        <v>1.0237010027347309</v>
      </c>
      <c r="W62" s="21">
        <f t="shared" si="8"/>
        <v>2.1048951048951046</v>
      </c>
      <c r="X62" s="21">
        <f t="shared" si="9"/>
        <v>4.0839694656488543</v>
      </c>
      <c r="Y62" s="21">
        <f t="shared" si="10"/>
        <v>8.8813056379821926</v>
      </c>
      <c r="Z62" s="21">
        <f t="shared" si="11"/>
        <v>25.015624999999975</v>
      </c>
      <c r="AA62" s="23">
        <f t="shared" si="12"/>
        <v>0.67416752683084447</v>
      </c>
      <c r="AB62" s="23" cm="1">
        <f t="array" ref="AB62">EXP(INDEX(LINEST(LN($H$2:$O$2),LN(S62:Z62)),1,2))</f>
        <v>8.6308597857315539E-2</v>
      </c>
      <c r="AC62" s="145">
        <v>0.71</v>
      </c>
      <c r="AD62" s="145">
        <f t="shared" si="13"/>
        <v>8.2875635209323478E-2</v>
      </c>
      <c r="AE62" s="145">
        <f t="shared" si="14"/>
        <v>38.951785527312126</v>
      </c>
      <c r="AG62" s="143">
        <f t="shared" si="27"/>
        <v>99.878995474048224</v>
      </c>
      <c r="AH62" s="143">
        <f t="shared" si="27"/>
        <v>94.52023148557295</v>
      </c>
      <c r="AI62" s="143">
        <f t="shared" si="27"/>
        <v>89.569638803652481</v>
      </c>
      <c r="AJ62" s="143">
        <f t="shared" si="27"/>
        <v>81.058658943180703</v>
      </c>
      <c r="AK62" s="143">
        <f t="shared" si="27"/>
        <v>69.967932248374737</v>
      </c>
      <c r="AL62" s="143">
        <f t="shared" si="27"/>
        <v>58.826372213291869</v>
      </c>
      <c r="AM62" s="143">
        <f t="shared" si="27"/>
        <v>50.218264709879882</v>
      </c>
      <c r="AN62" s="143">
        <f t="shared" si="27"/>
        <v>44.835958412936485</v>
      </c>
      <c r="AO62" s="143">
        <f t="shared" si="27"/>
        <v>41.832560181634214</v>
      </c>
      <c r="AP62" s="143">
        <f t="shared" si="27"/>
        <v>40.334890441001981</v>
      </c>
      <c r="AQ62" s="140">
        <f t="shared" si="16"/>
        <v>7.2307195098981856</v>
      </c>
      <c r="AT62">
        <f t="shared" si="17"/>
        <v>1.2100452595177557E-3</v>
      </c>
      <c r="AU62">
        <f t="shared" si="18"/>
        <v>3.0800327451230578E-3</v>
      </c>
      <c r="AV62">
        <f t="shared" si="19"/>
        <v>1.6474812741270588E-2</v>
      </c>
      <c r="AW62">
        <f t="shared" si="20"/>
        <v>6.75580268128044E-3</v>
      </c>
      <c r="AX62">
        <f t="shared" si="21"/>
        <v>5.5164111723340896E-2</v>
      </c>
      <c r="AY62">
        <f t="shared" si="22"/>
        <v>7.2495391308876334E-2</v>
      </c>
      <c r="AZ62">
        <f t="shared" si="23"/>
        <v>7.9962681932900695E-2</v>
      </c>
      <c r="BA62">
        <f t="shared" si="24"/>
        <v>0.11698949708361943</v>
      </c>
      <c r="BB62">
        <f t="shared" si="25"/>
        <v>0.1633081251844887</v>
      </c>
      <c r="BC62">
        <f t="shared" si="26"/>
        <v>0.2076314503294007</v>
      </c>
    </row>
    <row r="63" spans="1:55" x14ac:dyDescent="0.35">
      <c r="A63" s="73" t="s">
        <v>48</v>
      </c>
      <c r="B63" s="73">
        <v>1</v>
      </c>
      <c r="C63" s="72" t="s">
        <v>96</v>
      </c>
      <c r="D63" s="73">
        <v>59</v>
      </c>
      <c r="E63" s="74">
        <v>45.847900000000003</v>
      </c>
      <c r="F63" s="75">
        <v>33.68</v>
      </c>
      <c r="G63" s="76">
        <v>100</v>
      </c>
      <c r="H63" s="73">
        <v>97.07</v>
      </c>
      <c r="I63" s="73">
        <v>96.2</v>
      </c>
      <c r="J63" s="73">
        <v>94.27</v>
      </c>
      <c r="K63" s="73">
        <v>90.67</v>
      </c>
      <c r="L63" s="73">
        <v>80.63</v>
      </c>
      <c r="M63" s="73">
        <v>71.67</v>
      </c>
      <c r="N63" s="73">
        <v>65.45</v>
      </c>
      <c r="O63" s="73">
        <v>61.02</v>
      </c>
      <c r="P63" s="73">
        <v>58.45</v>
      </c>
      <c r="R63" s="21">
        <f t="shared" si="3"/>
        <v>0</v>
      </c>
      <c r="S63" s="21">
        <f t="shared" si="4"/>
        <v>7.5867426204039551E-2</v>
      </c>
      <c r="T63" s="21">
        <f t="shared" si="5"/>
        <v>0.10066225165562906</v>
      </c>
      <c r="U63" s="21">
        <f t="shared" si="6"/>
        <v>0.15996649916247921</v>
      </c>
      <c r="V63" s="21">
        <f t="shared" si="7"/>
        <v>0.2895716945996275</v>
      </c>
      <c r="W63" s="21">
        <f t="shared" si="8"/>
        <v>0.87330928764652893</v>
      </c>
      <c r="X63" s="21">
        <f t="shared" si="9"/>
        <v>2.1429652042360061</v>
      </c>
      <c r="Y63" s="21">
        <f t="shared" si="10"/>
        <v>4.9357142857142851</v>
      </c>
      <c r="Z63" s="21">
        <f t="shared" si="11"/>
        <v>15.167315175097274</v>
      </c>
      <c r="AA63" s="23">
        <f t="shared" si="12"/>
        <v>0.6742296669139628</v>
      </c>
      <c r="AB63" s="23" cm="1">
        <f t="array" ref="AB63">EXP(INDEX(LINEST(LN($H$2:$O$2),LN(S63:Z63)),1,2))</f>
        <v>0.13602898532410851</v>
      </c>
      <c r="AC63" s="145">
        <v>0.71</v>
      </c>
      <c r="AD63" s="145">
        <f t="shared" si="13"/>
        <v>0.12880302068828389</v>
      </c>
      <c r="AE63" s="145">
        <f t="shared" si="14"/>
        <v>51.951860332541571</v>
      </c>
      <c r="AG63" s="143">
        <f t="shared" si="27"/>
        <v>99.948774466789402</v>
      </c>
      <c r="AH63" s="143">
        <f t="shared" si="27"/>
        <v>97.581934907171359</v>
      </c>
      <c r="AI63" s="143">
        <f t="shared" si="27"/>
        <v>95.209892773978495</v>
      </c>
      <c r="AJ63" s="143">
        <f t="shared" si="27"/>
        <v>90.646201092472538</v>
      </c>
      <c r="AK63" s="143">
        <f t="shared" si="27"/>
        <v>83.555582967940239</v>
      </c>
      <c r="AL63" s="143">
        <f t="shared" ref="AH63:AP84" si="28">($AE63*AL$3^(1/$AC63)+100*$AD63^(1/$AC63))/(AL$3^(1/$AC63)+$AD63^(1/$AC63))</f>
        <v>74.68816153880222</v>
      </c>
      <c r="AM63" s="143">
        <f t="shared" si="28"/>
        <v>66.190628919562613</v>
      </c>
      <c r="AN63" s="143">
        <f t="shared" si="28"/>
        <v>59.909556604012941</v>
      </c>
      <c r="AO63" s="143">
        <f t="shared" si="28"/>
        <v>56.006352460188985</v>
      </c>
      <c r="AP63" s="143">
        <f t="shared" si="28"/>
        <v>53.938810535116623</v>
      </c>
      <c r="AQ63" s="140">
        <f t="shared" si="16"/>
        <v>5.2712518917938489</v>
      </c>
      <c r="AT63">
        <f t="shared" si="17"/>
        <v>5.1225533210597974E-4</v>
      </c>
      <c r="AU63">
        <f t="shared" si="18"/>
        <v>5.2738735672336022E-3</v>
      </c>
      <c r="AV63">
        <f t="shared" si="19"/>
        <v>1.0292174906668476E-2</v>
      </c>
      <c r="AW63">
        <f t="shared" si="20"/>
        <v>3.8440637610347494E-2</v>
      </c>
      <c r="AX63">
        <f t="shared" si="21"/>
        <v>7.8464950171608719E-2</v>
      </c>
      <c r="AY63">
        <f t="shared" si="22"/>
        <v>7.3692651137266224E-2</v>
      </c>
      <c r="AZ63">
        <f t="shared" si="23"/>
        <v>7.6452784713790828E-2</v>
      </c>
      <c r="BA63">
        <f t="shared" si="24"/>
        <v>8.4651541573522712E-2</v>
      </c>
      <c r="BB63">
        <f t="shared" si="25"/>
        <v>8.2164004257801015E-2</v>
      </c>
      <c r="BC63">
        <f t="shared" si="26"/>
        <v>7.7180315909039857E-2</v>
      </c>
    </row>
    <row r="64" spans="1:55" x14ac:dyDescent="0.35">
      <c r="A64" s="73" t="s">
        <v>48</v>
      </c>
      <c r="B64" s="73">
        <v>1</v>
      </c>
      <c r="C64" s="72" t="s">
        <v>96</v>
      </c>
      <c r="D64" s="73">
        <v>60</v>
      </c>
      <c r="E64" s="74">
        <v>76.739599999999996</v>
      </c>
      <c r="F64" s="75">
        <v>33.380000000000003</v>
      </c>
      <c r="G64" s="76">
        <v>100</v>
      </c>
      <c r="H64" s="73">
        <v>97</v>
      </c>
      <c r="I64" s="73">
        <v>94.69</v>
      </c>
      <c r="J64" s="73">
        <v>90.62</v>
      </c>
      <c r="K64" s="73">
        <v>77.989999999999995</v>
      </c>
      <c r="L64" s="73">
        <v>67.59</v>
      </c>
      <c r="M64" s="73">
        <v>58.95</v>
      </c>
      <c r="N64" s="73">
        <v>52.03</v>
      </c>
      <c r="O64" s="73">
        <v>46.89</v>
      </c>
      <c r="P64" s="73">
        <v>43.89</v>
      </c>
      <c r="R64" s="21">
        <f t="shared" si="3"/>
        <v>0</v>
      </c>
      <c r="S64" s="21">
        <f t="shared" si="4"/>
        <v>5.6486537375258897E-2</v>
      </c>
      <c r="T64" s="21">
        <f t="shared" si="5"/>
        <v>0.10452755905511817</v>
      </c>
      <c r="U64" s="21">
        <f t="shared" si="6"/>
        <v>0.20072758399315205</v>
      </c>
      <c r="V64" s="21">
        <f t="shared" si="7"/>
        <v>0.64545454545454573</v>
      </c>
      <c r="W64" s="21">
        <f t="shared" si="8"/>
        <v>1.3675105485232064</v>
      </c>
      <c r="X64" s="21">
        <f t="shared" si="9"/>
        <v>2.7257636122177948</v>
      </c>
      <c r="Y64" s="21">
        <f t="shared" si="10"/>
        <v>5.8931203931203928</v>
      </c>
      <c r="Z64" s="21">
        <f t="shared" si="11"/>
        <v>17.703333333333333</v>
      </c>
      <c r="AA64" s="23">
        <f t="shared" si="12"/>
        <v>0.65525180957952911</v>
      </c>
      <c r="AB64" s="23" cm="1">
        <f t="array" ref="AB64">EXP(INDEX(LINEST(LN($H$2:$O$2),LN(S64:Z64)),1,2))</f>
        <v>0.11662367178490743</v>
      </c>
      <c r="AC64" s="145">
        <v>0.71</v>
      </c>
      <c r="AD64" s="145">
        <f t="shared" si="13"/>
        <v>0.10962457489461834</v>
      </c>
      <c r="AE64" s="145">
        <f t="shared" si="14"/>
        <v>47.198623873495592</v>
      </c>
      <c r="AG64" s="143">
        <f t="shared" ref="AG64:AG84" si="29">($AE64*AG$3^(1/$AC64)+100*$AD64^(1/$AC64))/(AG$3^(1/$AC64)+$AD64^(1/$AC64))</f>
        <v>99.929375690658205</v>
      </c>
      <c r="AH64" s="143">
        <f t="shared" si="28"/>
        <v>96.707562753352335</v>
      </c>
      <c r="AI64" s="143">
        <f t="shared" si="28"/>
        <v>93.557838319237945</v>
      </c>
      <c r="AJ64" s="143">
        <f t="shared" si="28"/>
        <v>87.710374116498713</v>
      </c>
      <c r="AK64" s="143">
        <f t="shared" si="28"/>
        <v>79.141841030127111</v>
      </c>
      <c r="AL64" s="143">
        <f t="shared" si="28"/>
        <v>69.226006707612072</v>
      </c>
      <c r="AM64" s="143">
        <f t="shared" si="28"/>
        <v>60.466090974423352</v>
      </c>
      <c r="AN64" s="143">
        <f t="shared" si="28"/>
        <v>54.409725666867388</v>
      </c>
      <c r="AO64" s="143">
        <f t="shared" si="28"/>
        <v>50.811034417870701</v>
      </c>
      <c r="AP64" s="143">
        <f t="shared" si="28"/>
        <v>48.953321325418159</v>
      </c>
      <c r="AQ64" s="140">
        <f t="shared" si="16"/>
        <v>3.5720119497898257</v>
      </c>
      <c r="AT64">
        <f>ABS((G64-AG64)/G64)</f>
        <v>7.0624309341795312E-4</v>
      </c>
      <c r="AU64">
        <f t="shared" si="18"/>
        <v>3.0148169757491287E-3</v>
      </c>
      <c r="AV64">
        <f t="shared" si="19"/>
        <v>1.1956507347788076E-2</v>
      </c>
      <c r="AW64">
        <f t="shared" si="20"/>
        <v>3.2107988120738153E-2</v>
      </c>
      <c r="AX64">
        <f t="shared" si="21"/>
        <v>1.4769086166522838E-2</v>
      </c>
      <c r="AY64">
        <f t="shared" si="22"/>
        <v>2.4204863258056937E-2</v>
      </c>
      <c r="AZ64">
        <f t="shared" si="23"/>
        <v>2.5718252322703125E-2</v>
      </c>
      <c r="BA64">
        <f t="shared" si="24"/>
        <v>4.573756807356115E-2</v>
      </c>
      <c r="BB64">
        <f t="shared" si="25"/>
        <v>8.3621975215839209E-2</v>
      </c>
      <c r="BC64">
        <f t="shared" si="26"/>
        <v>0.11536389440460602</v>
      </c>
    </row>
    <row r="65" spans="1:55" x14ac:dyDescent="0.35">
      <c r="A65" s="73" t="s">
        <v>48</v>
      </c>
      <c r="B65" s="73">
        <v>1</v>
      </c>
      <c r="C65" s="72" t="s">
        <v>96</v>
      </c>
      <c r="D65" s="73">
        <v>61</v>
      </c>
      <c r="E65" s="74">
        <v>142.19470000000001</v>
      </c>
      <c r="F65" s="75">
        <v>33.49</v>
      </c>
      <c r="G65" s="76">
        <v>100</v>
      </c>
      <c r="H65" s="73">
        <v>97.62</v>
      </c>
      <c r="I65" s="73">
        <v>95.75</v>
      </c>
      <c r="J65" s="73">
        <v>89.52</v>
      </c>
      <c r="K65" s="73">
        <v>76.510000000000005</v>
      </c>
      <c r="L65" s="73">
        <v>65.47</v>
      </c>
      <c r="M65" s="73">
        <v>56</v>
      </c>
      <c r="N65" s="73">
        <v>48.32</v>
      </c>
      <c r="O65" s="73">
        <v>42.45</v>
      </c>
      <c r="P65" s="73">
        <v>38.14</v>
      </c>
      <c r="R65" s="21">
        <f t="shared" si="3"/>
        <v>0</v>
      </c>
      <c r="S65" s="21">
        <f t="shared" si="4"/>
        <v>4.0013449899125676E-2</v>
      </c>
      <c r="T65" s="21">
        <f t="shared" si="5"/>
        <v>7.3771914598160043E-2</v>
      </c>
      <c r="U65" s="21">
        <f t="shared" si="6"/>
        <v>0.20397041650447656</v>
      </c>
      <c r="V65" s="21">
        <f t="shared" si="7"/>
        <v>0.61219702892885042</v>
      </c>
      <c r="W65" s="21">
        <f t="shared" si="8"/>
        <v>1.2634467618002196</v>
      </c>
      <c r="X65" s="21">
        <f t="shared" si="9"/>
        <v>2.4636058230683093</v>
      </c>
      <c r="Y65" s="21">
        <f t="shared" si="10"/>
        <v>5.0766208251473479</v>
      </c>
      <c r="Z65" s="21">
        <f t="shared" si="11"/>
        <v>13.352668213457068</v>
      </c>
      <c r="AA65" s="23">
        <f t="shared" si="12"/>
        <v>0.64548022763252655</v>
      </c>
      <c r="AB65" s="23" cm="1">
        <f t="array" ref="AB65">EXP(INDEX(LINEST(LN($H$2:$O$2),LN(S65:Z65)),1,2))</f>
        <v>0.12976393592357552</v>
      </c>
      <c r="AC65" s="145">
        <v>0.71</v>
      </c>
      <c r="AD65" s="145">
        <f t="shared" si="13"/>
        <v>9.0378791193018088E-2</v>
      </c>
      <c r="AE65" s="145">
        <f t="shared" si="14"/>
        <v>41.506983821055584</v>
      </c>
      <c r="AG65" s="143">
        <f t="shared" si="29"/>
        <v>99.897359681408446</v>
      </c>
      <c r="AH65" s="143">
        <f t="shared" si="28"/>
        <v>95.304492660682982</v>
      </c>
      <c r="AI65" s="143">
        <f t="shared" si="28"/>
        <v>90.977472355788294</v>
      </c>
      <c r="AJ65" s="143">
        <f t="shared" si="28"/>
        <v>83.343064118106355</v>
      </c>
      <c r="AK65" s="143">
        <f t="shared" si="28"/>
        <v>73.005546949103405</v>
      </c>
      <c r="AL65" s="143">
        <f t="shared" si="28"/>
        <v>62.149548043628201</v>
      </c>
      <c r="AM65" s="143">
        <f t="shared" si="28"/>
        <v>53.41802418066429</v>
      </c>
      <c r="AN65" s="143">
        <f t="shared" si="28"/>
        <v>47.798120107609918</v>
      </c>
      <c r="AO65" s="143">
        <f t="shared" si="28"/>
        <v>44.60655299113904</v>
      </c>
      <c r="AP65" s="143">
        <f t="shared" si="28"/>
        <v>42.999861403773288</v>
      </c>
      <c r="AQ65" s="140">
        <f t="shared" si="16"/>
        <v>4.7524230418822491</v>
      </c>
      <c r="AT65">
        <f t="shared" si="17"/>
        <v>1.0264031859155409E-3</v>
      </c>
      <c r="AU65">
        <f t="shared" si="18"/>
        <v>2.3719599870078083E-2</v>
      </c>
      <c r="AV65">
        <f t="shared" si="19"/>
        <v>4.9843630748947328E-2</v>
      </c>
      <c r="AW65">
        <f t="shared" si="20"/>
        <v>6.9000624239205111E-2</v>
      </c>
      <c r="AX65">
        <f t="shared" si="21"/>
        <v>4.580385637036466E-2</v>
      </c>
      <c r="AY65">
        <f t="shared" si="22"/>
        <v>5.0717152228070841E-2</v>
      </c>
      <c r="AZ65">
        <f t="shared" si="23"/>
        <v>4.6106711059566256E-2</v>
      </c>
      <c r="BA65">
        <f t="shared" si="24"/>
        <v>1.0800494461715274E-2</v>
      </c>
      <c r="BB65">
        <f t="shared" si="25"/>
        <v>5.0802190603982021E-2</v>
      </c>
      <c r="BC65">
        <f t="shared" si="26"/>
        <v>0.12742164142037984</v>
      </c>
    </row>
    <row r="66" spans="1:55" x14ac:dyDescent="0.35">
      <c r="A66" s="73" t="s">
        <v>48</v>
      </c>
      <c r="B66" s="73">
        <v>1</v>
      </c>
      <c r="C66" s="72" t="s">
        <v>96</v>
      </c>
      <c r="D66" s="73">
        <v>62</v>
      </c>
      <c r="E66" s="74">
        <v>99.798000000000002</v>
      </c>
      <c r="F66" s="75">
        <v>32.229999999999997</v>
      </c>
      <c r="G66" s="76">
        <v>100</v>
      </c>
      <c r="H66" s="73">
        <v>97.24</v>
      </c>
      <c r="I66" s="73">
        <v>94.93</v>
      </c>
      <c r="J66" s="73">
        <v>91.29</v>
      </c>
      <c r="K66" s="73">
        <v>79.989999999999995</v>
      </c>
      <c r="L66" s="73">
        <v>67.459999999999994</v>
      </c>
      <c r="M66" s="73">
        <v>57.69</v>
      </c>
      <c r="N66" s="73">
        <v>50.03</v>
      </c>
      <c r="O66" s="73">
        <v>44.32</v>
      </c>
      <c r="P66" s="73">
        <v>40.82</v>
      </c>
      <c r="R66" s="21">
        <f t="shared" si="3"/>
        <v>0</v>
      </c>
      <c r="S66" s="21">
        <f t="shared" si="4"/>
        <v>4.8918823112371591E-2</v>
      </c>
      <c r="T66" s="21">
        <f t="shared" si="5"/>
        <v>9.3698022546664067E-2</v>
      </c>
      <c r="U66" s="21">
        <f t="shared" si="6"/>
        <v>0.17257776897166618</v>
      </c>
      <c r="V66" s="21">
        <f t="shared" si="7"/>
        <v>0.51085014041358201</v>
      </c>
      <c r="W66" s="21">
        <f t="shared" si="8"/>
        <v>1.2214714714714721</v>
      </c>
      <c r="X66" s="21">
        <f t="shared" si="9"/>
        <v>2.5080023710729109</v>
      </c>
      <c r="Y66" s="21">
        <f t="shared" si="10"/>
        <v>5.425624321389793</v>
      </c>
      <c r="Z66" s="21">
        <f t="shared" si="11"/>
        <v>15.908571428571429</v>
      </c>
      <c r="AA66" s="23">
        <f t="shared" si="12"/>
        <v>0.64897445691647848</v>
      </c>
      <c r="AB66" s="23" cm="1">
        <f t="array" ref="AB66">EXP(INDEX(LINEST(LN($H$2:$O$2),LN(S66:Z66)),1,2))</f>
        <v>0.12660407207724708</v>
      </c>
      <c r="AC66" s="145">
        <v>0.71</v>
      </c>
      <c r="AD66" s="145">
        <f t="shared" si="13"/>
        <v>0.10097035896363826</v>
      </c>
      <c r="AE66" s="145">
        <f t="shared" si="14"/>
        <v>44.774148936059611</v>
      </c>
      <c r="AG66" s="143">
        <f t="shared" si="29"/>
        <v>99.917075759361111</v>
      </c>
      <c r="AH66" s="143">
        <f t="shared" si="28"/>
        <v>96.162897759197023</v>
      </c>
      <c r="AI66" s="143">
        <f t="shared" si="28"/>
        <v>92.546301791914232</v>
      </c>
      <c r="AJ66" s="143">
        <f t="shared" si="28"/>
        <v>85.968676879501913</v>
      </c>
      <c r="AK66" s="143">
        <f t="shared" si="28"/>
        <v>76.638403404029319</v>
      </c>
      <c r="AL66" s="143">
        <f t="shared" si="28"/>
        <v>66.274211320922305</v>
      </c>
      <c r="AM66" s="143">
        <f t="shared" si="28"/>
        <v>57.482394977602439</v>
      </c>
      <c r="AN66" s="143">
        <f t="shared" si="28"/>
        <v>51.593343305603923</v>
      </c>
      <c r="AO66" s="143">
        <f t="shared" si="28"/>
        <v>48.164577621790713</v>
      </c>
      <c r="AP66" s="143">
        <f t="shared" si="28"/>
        <v>46.414660523116972</v>
      </c>
      <c r="AQ66" s="140">
        <f t="shared" si="16"/>
        <v>4.134336949433929</v>
      </c>
      <c r="AT66">
        <f t="shared" si="17"/>
        <v>8.2924240638888587E-4</v>
      </c>
      <c r="AU66">
        <f t="shared" si="18"/>
        <v>1.1076740444292188E-2</v>
      </c>
      <c r="AV66">
        <f t="shared" si="19"/>
        <v>2.5110062236234857E-2</v>
      </c>
      <c r="AW66">
        <f t="shared" si="20"/>
        <v>5.8290317893505229E-2</v>
      </c>
      <c r="AX66">
        <f t="shared" si="21"/>
        <v>4.1900194974005205E-2</v>
      </c>
      <c r="AY66">
        <f t="shared" si="22"/>
        <v>1.7577656078827289E-2</v>
      </c>
      <c r="AZ66">
        <f t="shared" si="23"/>
        <v>3.5986310001310195E-3</v>
      </c>
      <c r="BA66">
        <f t="shared" si="24"/>
        <v>3.1248117241733406E-2</v>
      </c>
      <c r="BB66">
        <f t="shared" si="25"/>
        <v>8.6745884968202E-2</v>
      </c>
      <c r="BC66">
        <f t="shared" si="26"/>
        <v>0.13705684770007279</v>
      </c>
    </row>
    <row r="67" spans="1:55" x14ac:dyDescent="0.35">
      <c r="A67" s="73" t="s">
        <v>48</v>
      </c>
      <c r="B67" s="73">
        <v>1</v>
      </c>
      <c r="C67" s="72" t="s">
        <v>96</v>
      </c>
      <c r="D67" s="73">
        <v>64</v>
      </c>
      <c r="E67" s="74">
        <v>169.6362</v>
      </c>
      <c r="F67" s="75">
        <v>33.25</v>
      </c>
      <c r="G67" s="76">
        <v>100</v>
      </c>
      <c r="H67" s="73">
        <v>92.98</v>
      </c>
      <c r="I67" s="73">
        <v>88.99</v>
      </c>
      <c r="J67" s="73">
        <v>80.53</v>
      </c>
      <c r="K67" s="73">
        <v>67.94</v>
      </c>
      <c r="L67" s="73">
        <v>56.5</v>
      </c>
      <c r="M67" s="73">
        <v>47.99</v>
      </c>
      <c r="N67" s="73">
        <v>42.01</v>
      </c>
      <c r="O67" s="73">
        <v>38.229999999999997</v>
      </c>
      <c r="P67" s="73">
        <v>35.229999999999997</v>
      </c>
      <c r="R67" s="21">
        <f t="shared" si="3"/>
        <v>0</v>
      </c>
      <c r="S67" s="21">
        <f t="shared" si="4"/>
        <v>0.12155844155844148</v>
      </c>
      <c r="T67" s="21">
        <f t="shared" si="5"/>
        <v>0.20479910714285723</v>
      </c>
      <c r="U67" s="21">
        <f t="shared" si="6"/>
        <v>0.42980132450331121</v>
      </c>
      <c r="V67" s="21">
        <f t="shared" si="7"/>
        <v>0.98012840110058086</v>
      </c>
      <c r="W67" s="21">
        <f t="shared" si="8"/>
        <v>2.0451339915373761</v>
      </c>
      <c r="X67" s="21">
        <f t="shared" si="9"/>
        <v>4.0760188087774276</v>
      </c>
      <c r="Y67" s="21">
        <f t="shared" si="10"/>
        <v>8.553097345132743</v>
      </c>
      <c r="Z67" s="21">
        <f t="shared" si="11"/>
        <v>20.59</v>
      </c>
      <c r="AA67" s="23">
        <f t="shared" si="12"/>
        <v>0.73022824453043289</v>
      </c>
      <c r="AB67" s="23" cm="1">
        <f t="array" ref="AB67">EXP(INDEX(LINEST(LN($H$2:$O$2),LN(S67:Z67)),1,2))</f>
        <v>8.2276542353529977E-2</v>
      </c>
      <c r="AC67" s="145">
        <v>0.71</v>
      </c>
      <c r="AD67" s="145">
        <f t="shared" si="13"/>
        <v>8.5522371258721308E-2</v>
      </c>
      <c r="AE67" s="145">
        <f t="shared" si="14"/>
        <v>39.8786211033689</v>
      </c>
      <c r="AG67" s="143">
        <f t="shared" si="29"/>
        <v>99.885984084121631</v>
      </c>
      <c r="AH67" s="143">
        <f t="shared" si="28"/>
        <v>94.817008647353845</v>
      </c>
      <c r="AI67" s="143">
        <f t="shared" si="28"/>
        <v>90.099625290879032</v>
      </c>
      <c r="AJ67" s="143">
        <f t="shared" si="28"/>
        <v>81.911065366293329</v>
      </c>
      <c r="AK67" s="143">
        <f t="shared" si="28"/>
        <v>71.088864038036562</v>
      </c>
      <c r="AL67" s="143">
        <f t="shared" si="28"/>
        <v>60.040419803181692</v>
      </c>
      <c r="AM67" s="143">
        <f t="shared" si="28"/>
        <v>51.380270209789607</v>
      </c>
      <c r="AN67" s="143">
        <f t="shared" si="28"/>
        <v>45.909489020731861</v>
      </c>
      <c r="AO67" s="143">
        <f t="shared" si="28"/>
        <v>42.837776922917904</v>
      </c>
      <c r="AP67" s="143">
        <f t="shared" si="28"/>
        <v>41.300934353186904</v>
      </c>
      <c r="AQ67" s="140">
        <f t="shared" si="16"/>
        <v>6.1584486714182951</v>
      </c>
      <c r="AT67">
        <f t="shared" si="17"/>
        <v>1.1401591587836891E-3</v>
      </c>
      <c r="AU67">
        <f t="shared" si="18"/>
        <v>1.9757029977993553E-2</v>
      </c>
      <c r="AV67">
        <f t="shared" si="19"/>
        <v>1.2469100920092568E-2</v>
      </c>
      <c r="AW67">
        <f t="shared" si="20"/>
        <v>1.7149700314085779E-2</v>
      </c>
      <c r="AX67">
        <f t="shared" si="21"/>
        <v>4.6347719135068646E-2</v>
      </c>
      <c r="AY67">
        <f t="shared" si="22"/>
        <v>6.2662297401445868E-2</v>
      </c>
      <c r="AZ67">
        <f t="shared" si="23"/>
        <v>7.0645347151273297E-2</v>
      </c>
      <c r="BA67">
        <f t="shared" si="24"/>
        <v>9.2822875999330243E-2</v>
      </c>
      <c r="BB67">
        <f t="shared" si="25"/>
        <v>0.12052777721469807</v>
      </c>
      <c r="BC67">
        <f t="shared" si="26"/>
        <v>0.17232285986905782</v>
      </c>
    </row>
    <row r="68" spans="1:55" x14ac:dyDescent="0.35">
      <c r="A68" s="73" t="s">
        <v>48</v>
      </c>
      <c r="B68" s="73">
        <v>1</v>
      </c>
      <c r="C68" s="72" t="s">
        <v>96</v>
      </c>
      <c r="D68" s="73">
        <v>65</v>
      </c>
      <c r="E68" s="74">
        <v>125.72799999999999</v>
      </c>
      <c r="F68" s="75">
        <v>31.36</v>
      </c>
      <c r="G68" s="76">
        <v>100</v>
      </c>
      <c r="H68" s="73">
        <v>96.18</v>
      </c>
      <c r="I68" s="73">
        <v>93.18</v>
      </c>
      <c r="J68" s="73">
        <v>86.01</v>
      </c>
      <c r="K68" s="73">
        <v>73.58</v>
      </c>
      <c r="L68" s="73">
        <v>62.76</v>
      </c>
      <c r="M68" s="73">
        <v>54.38</v>
      </c>
      <c r="N68" s="73">
        <v>48.59</v>
      </c>
      <c r="O68" s="73">
        <v>44.18</v>
      </c>
      <c r="P68" s="73">
        <v>41.6</v>
      </c>
      <c r="R68" s="21">
        <f t="shared" si="3"/>
        <v>0</v>
      </c>
      <c r="S68" s="21">
        <f t="shared" si="4"/>
        <v>6.99890069622571E-2</v>
      </c>
      <c r="T68" s="21">
        <f t="shared" si="5"/>
        <v>0.13222179139201226</v>
      </c>
      <c r="U68" s="21">
        <f t="shared" si="6"/>
        <v>0.31501913983337071</v>
      </c>
      <c r="V68" s="21">
        <f t="shared" si="7"/>
        <v>0.82614133833646042</v>
      </c>
      <c r="W68" s="21">
        <f t="shared" si="8"/>
        <v>1.7599243856332707</v>
      </c>
      <c r="X68" s="21">
        <f t="shared" si="9"/>
        <v>3.5696400625978084</v>
      </c>
      <c r="Y68" s="21">
        <f t="shared" si="10"/>
        <v>7.3547925608011422</v>
      </c>
      <c r="Z68" s="21">
        <f t="shared" si="11"/>
        <v>21.635658914728698</v>
      </c>
      <c r="AA68" s="23">
        <f t="shared" si="12"/>
        <v>0.66355957981309666</v>
      </c>
      <c r="AB68" s="23" cm="1">
        <f t="array" ref="AB68">EXP(INDEX(LINEST(LN($H$2:$O$2),LN(S68:Z68)),1,2))</f>
        <v>9.8177035026838513E-2</v>
      </c>
      <c r="AC68" s="145">
        <v>0.71</v>
      </c>
      <c r="AD68" s="145">
        <f t="shared" si="13"/>
        <v>9.3928376804867902E-2</v>
      </c>
      <c r="AE68" s="145">
        <f t="shared" si="14"/>
        <v>42.642732857325811</v>
      </c>
      <c r="AG68" s="143">
        <f t="shared" si="29"/>
        <v>99.904659179034923</v>
      </c>
      <c r="AH68" s="143">
        <f t="shared" si="28"/>
        <v>95.620260708598963</v>
      </c>
      <c r="AI68" s="143">
        <f t="shared" si="28"/>
        <v>91.551079615127634</v>
      </c>
      <c r="AJ68" s="143">
        <f t="shared" si="28"/>
        <v>84.292871666771973</v>
      </c>
      <c r="AK68" s="143">
        <f t="shared" si="28"/>
        <v>74.301296648205735</v>
      </c>
      <c r="AL68" s="143">
        <f t="shared" si="28"/>
        <v>63.600707307044608</v>
      </c>
      <c r="AM68" s="143">
        <f t="shared" si="28"/>
        <v>54.835290090528446</v>
      </c>
      <c r="AN68" s="143">
        <f t="shared" si="28"/>
        <v>49.116852294183964</v>
      </c>
      <c r="AO68" s="143">
        <f t="shared" si="28"/>
        <v>45.84213105289556</v>
      </c>
      <c r="AP68" s="143">
        <f t="shared" si="28"/>
        <v>44.186048792870245</v>
      </c>
      <c r="AQ68" s="140">
        <f t="shared" si="16"/>
        <v>1.8641894743930145</v>
      </c>
      <c r="AT68">
        <f t="shared" si="17"/>
        <v>9.534082096507746E-4</v>
      </c>
      <c r="AU68">
        <f t="shared" si="18"/>
        <v>5.8197056706284483E-3</v>
      </c>
      <c r="AV68">
        <f t="shared" si="19"/>
        <v>1.7481437914492089E-2</v>
      </c>
      <c r="AW68">
        <f t="shared" si="20"/>
        <v>1.9964287097175123E-2</v>
      </c>
      <c r="AX68">
        <f t="shared" si="21"/>
        <v>9.8028900272592659E-3</v>
      </c>
      <c r="AY68">
        <f t="shared" si="22"/>
        <v>1.3395591253100865E-2</v>
      </c>
      <c r="AZ68">
        <f t="shared" si="23"/>
        <v>8.3723812160434556E-3</v>
      </c>
      <c r="BA68">
        <f t="shared" si="24"/>
        <v>1.0842813216381161E-2</v>
      </c>
      <c r="BB68">
        <f t="shared" si="25"/>
        <v>3.7621798390574022E-2</v>
      </c>
      <c r="BC68">
        <f t="shared" si="26"/>
        <v>6.2164634443996246E-2</v>
      </c>
    </row>
    <row r="69" spans="1:55" x14ac:dyDescent="0.35">
      <c r="A69" s="73" t="s">
        <v>48</v>
      </c>
      <c r="B69" s="73">
        <v>1</v>
      </c>
      <c r="C69" s="72" t="s">
        <v>96</v>
      </c>
      <c r="D69" s="73">
        <v>66</v>
      </c>
      <c r="E69" s="74">
        <v>454.41309999999999</v>
      </c>
      <c r="F69" s="75">
        <v>32.369999999999997</v>
      </c>
      <c r="G69" s="76">
        <v>100</v>
      </c>
      <c r="H69" s="73">
        <v>83.15</v>
      </c>
      <c r="I69" s="73">
        <v>74.92</v>
      </c>
      <c r="J69" s="73">
        <v>61.96</v>
      </c>
      <c r="K69" s="73">
        <v>51.09</v>
      </c>
      <c r="L69" s="73">
        <v>43.19</v>
      </c>
      <c r="M69" s="73">
        <v>37.22</v>
      </c>
      <c r="N69" s="73">
        <v>32.97</v>
      </c>
      <c r="O69" s="73">
        <v>30.02</v>
      </c>
      <c r="P69" s="73">
        <v>27.86</v>
      </c>
      <c r="R69" s="21">
        <f t="shared" si="3"/>
        <v>0</v>
      </c>
      <c r="S69" s="21">
        <f t="shared" si="4"/>
        <v>0.30475673720383417</v>
      </c>
      <c r="T69" s="21">
        <f t="shared" si="5"/>
        <v>0.53293667658308541</v>
      </c>
      <c r="U69" s="21">
        <f t="shared" si="6"/>
        <v>1.1155425219941348</v>
      </c>
      <c r="V69" s="21">
        <f t="shared" si="7"/>
        <v>2.1054670684459746</v>
      </c>
      <c r="W69" s="21">
        <f t="shared" si="8"/>
        <v>3.7058056099151995</v>
      </c>
      <c r="X69" s="21">
        <f t="shared" si="9"/>
        <v>6.7072649572649574</v>
      </c>
      <c r="Y69" s="21">
        <f t="shared" si="10"/>
        <v>13.117416829745599</v>
      </c>
      <c r="Z69" s="21">
        <f t="shared" si="11"/>
        <v>32.398148148148145</v>
      </c>
      <c r="AA69" s="23">
        <f t="shared" si="12"/>
        <v>0.82860619398237068</v>
      </c>
      <c r="AB69" s="23" cm="1">
        <f t="array" ref="AB69">EXP(INDEX(LINEST(LN($H$2:$O$2),LN(S69:Z69)),1,2))</f>
        <v>4.4693328493752016E-2</v>
      </c>
      <c r="AC69" s="145">
        <v>0.71</v>
      </c>
      <c r="AD69" s="145">
        <f t="shared" si="13"/>
        <v>6.2825640038365632E-2</v>
      </c>
      <c r="AE69" s="145">
        <f t="shared" si="14"/>
        <v>30.785806207311921</v>
      </c>
      <c r="AG69" s="143">
        <f t="shared" si="29"/>
        <v>99.797541630458028</v>
      </c>
      <c r="AH69" s="143">
        <f t="shared" si="28"/>
        <v>91.199774740222026</v>
      </c>
      <c r="AI69" s="143">
        <f t="shared" si="28"/>
        <v>83.848656244645895</v>
      </c>
      <c r="AJ69" s="143">
        <f t="shared" si="28"/>
        <v>72.368945291026506</v>
      </c>
      <c r="AK69" s="143">
        <f t="shared" si="28"/>
        <v>59.265778614087665</v>
      </c>
      <c r="AL69" s="143">
        <f t="shared" si="28"/>
        <v>47.832984408759138</v>
      </c>
      <c r="AM69" s="143">
        <f t="shared" si="28"/>
        <v>39.981433180999574</v>
      </c>
      <c r="AN69" s="143">
        <f t="shared" si="28"/>
        <v>35.447261822854188</v>
      </c>
      <c r="AO69" s="143">
        <f t="shared" si="28"/>
        <v>33.031134342523487</v>
      </c>
      <c r="AP69" s="143">
        <f t="shared" si="28"/>
        <v>31.855217652973117</v>
      </c>
      <c r="AQ69" s="140">
        <f t="shared" si="16"/>
        <v>10.465703611715115</v>
      </c>
      <c r="AT69">
        <f t="shared" si="17"/>
        <v>2.0245836954197217E-3</v>
      </c>
      <c r="AU69">
        <f t="shared" si="18"/>
        <v>9.6810279497558868E-2</v>
      </c>
      <c r="AV69">
        <f t="shared" si="19"/>
        <v>0.11917587085752659</v>
      </c>
      <c r="AW69">
        <f t="shared" si="20"/>
        <v>0.16799459798299718</v>
      </c>
      <c r="AX69">
        <f t="shared" si="21"/>
        <v>0.16002698402990137</v>
      </c>
      <c r="AY69">
        <f t="shared" si="22"/>
        <v>0.10750137552116557</v>
      </c>
      <c r="AZ69">
        <f t="shared" si="23"/>
        <v>7.419218648574892E-2</v>
      </c>
      <c r="BA69">
        <f t="shared" si="24"/>
        <v>7.5136846310409122E-2</v>
      </c>
      <c r="BB69">
        <f t="shared" si="25"/>
        <v>0.10030427523396027</v>
      </c>
      <c r="BC69">
        <f t="shared" si="26"/>
        <v>0.14340336155682404</v>
      </c>
    </row>
    <row r="70" spans="1:55" x14ac:dyDescent="0.35">
      <c r="A70" s="73" t="s">
        <v>48</v>
      </c>
      <c r="B70" s="73">
        <v>1</v>
      </c>
      <c r="C70" s="72" t="s">
        <v>96</v>
      </c>
      <c r="D70" s="73">
        <v>67</v>
      </c>
      <c r="E70" s="75">
        <v>10.573</v>
      </c>
      <c r="F70" s="75">
        <v>29.02</v>
      </c>
      <c r="G70" s="76">
        <v>100</v>
      </c>
      <c r="H70" s="73">
        <v>98.39</v>
      </c>
      <c r="I70" s="73">
        <v>97.39</v>
      </c>
      <c r="J70" s="73">
        <v>96.06</v>
      </c>
      <c r="K70" s="73">
        <v>93.74</v>
      </c>
      <c r="L70" s="73">
        <v>89.28</v>
      </c>
      <c r="M70" s="73">
        <v>81.36</v>
      </c>
      <c r="N70" s="73">
        <v>73.239999999999995</v>
      </c>
      <c r="O70" s="73">
        <v>67.67</v>
      </c>
      <c r="P70" s="73">
        <v>63.83</v>
      </c>
      <c r="R70" s="21">
        <f t="shared" ref="R70:R83" si="30">(100-G70)/(G70-$P70)</f>
        <v>0</v>
      </c>
      <c r="S70" s="21">
        <f t="shared" ref="S70:S83" si="31">(100-H70)/(H70-$P70)</f>
        <v>4.6585648148148126E-2</v>
      </c>
      <c r="T70" s="21">
        <f t="shared" ref="T70:T83" si="32">(100-I70)/(I70-$P70)</f>
        <v>7.7771156138259814E-2</v>
      </c>
      <c r="U70" s="21">
        <f t="shared" ref="U70:U83" si="33">(100-J70)/(J70-$P70)</f>
        <v>0.1222463543282655</v>
      </c>
      <c r="V70" s="21">
        <f t="shared" ref="V70:V83" si="34">(100-K70)/(K70-$P70)</f>
        <v>0.20929455031761973</v>
      </c>
      <c r="W70" s="21">
        <f t="shared" ref="W70:W83" si="35">(100-L70)/(L70-$P70)</f>
        <v>0.42121807465618849</v>
      </c>
      <c r="X70" s="21">
        <f t="shared" ref="X70:X83" si="36">(100-M70)/(M70-$P70)</f>
        <v>1.0633200228180262</v>
      </c>
      <c r="Y70" s="21">
        <f t="shared" ref="Y70:Y83" si="37">(100-N70)/(N70-$P70)</f>
        <v>2.8437832093517552</v>
      </c>
      <c r="Z70" s="21">
        <f t="shared" ref="Z70:Z83" si="38">(100-O70)/(O70-$P70)</f>
        <v>8.419270833333325</v>
      </c>
      <c r="AA70" s="23">
        <f t="shared" ref="AA70:AA83" si="39">INDEX(LINEST(LN($H$2:$O$2),LN(S70:Z70)),1)</f>
        <v>0.71712972873576553</v>
      </c>
      <c r="AB70" s="23" cm="1">
        <f t="array" ref="AB70">EXP(INDEX(LINEST(LN($H$2:$O$2),LN(S70:Z70)),1,2))</f>
        <v>0.19625306153917607</v>
      </c>
      <c r="AC70" s="145">
        <v>0.71</v>
      </c>
      <c r="AD70" s="145">
        <f t="shared" ref="AD70:AD84" si="40">0.4265 *E70^(-0.313)</f>
        <v>0.2038660877793354</v>
      </c>
      <c r="AE70" s="145">
        <f t="shared" ref="AE70:AE84" si="41" xml:space="preserve"> -9.228* LN(E70) + 87.252</f>
        <v>65.489574547607404</v>
      </c>
      <c r="AG70" s="143">
        <f t="shared" si="29"/>
        <v>99.980719910721689</v>
      </c>
      <c r="AH70" s="143">
        <f t="shared" si="28"/>
        <v>99.068021972586166</v>
      </c>
      <c r="AI70" s="143">
        <f t="shared" si="28"/>
        <v>98.108211690329981</v>
      </c>
      <c r="AJ70" s="143">
        <f t="shared" si="28"/>
        <v>96.121663843074387</v>
      </c>
      <c r="AK70" s="143">
        <f t="shared" si="28"/>
        <v>92.609190235857582</v>
      </c>
      <c r="AL70" s="143">
        <f t="shared" si="28"/>
        <v>87.289047005595933</v>
      </c>
      <c r="AM70" s="143">
        <f t="shared" si="28"/>
        <v>80.871054363328113</v>
      </c>
      <c r="AN70" s="143">
        <f t="shared" si="28"/>
        <v>74.9739787743694</v>
      </c>
      <c r="AO70" s="143">
        <f t="shared" si="28"/>
        <v>70.653445262244318</v>
      </c>
      <c r="AP70" s="143">
        <f t="shared" si="28"/>
        <v>68.115616196054702</v>
      </c>
      <c r="AQ70" s="140">
        <f t="shared" ref="AQ70:AQ84" si="42">SUM(AT70:BC70)/COUNT($AG$3:$AP$3)*100</f>
        <v>1.9037805346468195</v>
      </c>
      <c r="AT70">
        <f t="shared" ref="AT70:AT84" si="43">ABS((G70-AG70)/G70)</f>
        <v>1.9280089278311152E-4</v>
      </c>
      <c r="AU70">
        <f t="shared" ref="AU70:AU84" si="44">ABS((H70-AH70)/H70)</f>
        <v>6.8911675229816607E-3</v>
      </c>
      <c r="AV70">
        <f t="shared" ref="AV70:AV84" si="45">ABS((I70-AI70)/I70)</f>
        <v>7.374593801519458E-3</v>
      </c>
      <c r="AW70">
        <f t="shared" ref="AW70:AW84" si="46">ABS((J70-AJ70)/J70)</f>
        <v>6.419304921339243E-4</v>
      </c>
      <c r="AX70">
        <f t="shared" ref="AX70:AX84" si="47">ABS((K70-AK70)/K70)</f>
        <v>1.2063257564992668E-2</v>
      </c>
      <c r="AY70">
        <f t="shared" ref="AY70:AY84" si="48">ABS((L70-AL70)/L70)</f>
        <v>2.2300100743773168E-2</v>
      </c>
      <c r="AZ70">
        <f t="shared" ref="AZ70:AZ84" si="49">ABS((M70-AM70)/M70)</f>
        <v>6.0096563012768693E-3</v>
      </c>
      <c r="BA70">
        <f t="shared" ref="BA70:BA84" si="50">ABS((N70-AN70)/N70)</f>
        <v>2.3675297301603015E-2</v>
      </c>
      <c r="BB70">
        <f t="shared" ref="BB70:BB84" si="51">ABS((O70-AO70)/O70)</f>
        <v>4.4088152242416384E-2</v>
      </c>
      <c r="BC70">
        <f t="shared" ref="BC70:BC84" si="52">ABS((P70-AP70)/P70)</f>
        <v>6.7141096601201697E-2</v>
      </c>
    </row>
    <row r="71" spans="1:55" x14ac:dyDescent="0.35">
      <c r="A71" s="73" t="s">
        <v>48</v>
      </c>
      <c r="B71" s="73">
        <v>1</v>
      </c>
      <c r="C71" s="72" t="s">
        <v>96</v>
      </c>
      <c r="D71" s="73">
        <v>68</v>
      </c>
      <c r="E71" s="74">
        <v>39.378999999999998</v>
      </c>
      <c r="F71" s="75">
        <v>31.58</v>
      </c>
      <c r="G71" s="76">
        <v>100</v>
      </c>
      <c r="H71" s="73">
        <v>97.73</v>
      </c>
      <c r="I71" s="73">
        <v>97.17</v>
      </c>
      <c r="J71" s="73">
        <v>96.03</v>
      </c>
      <c r="K71" s="73">
        <v>92.46</v>
      </c>
      <c r="L71" s="73">
        <v>84.36</v>
      </c>
      <c r="M71" s="73">
        <v>75.349999999999994</v>
      </c>
      <c r="N71" s="73">
        <v>68.180000000000007</v>
      </c>
      <c r="O71" s="73">
        <v>63.21</v>
      </c>
      <c r="P71" s="73">
        <v>60.21</v>
      </c>
      <c r="R71" s="21">
        <f t="shared" si="30"/>
        <v>0</v>
      </c>
      <c r="S71" s="21">
        <f t="shared" si="31"/>
        <v>6.0501066098080911E-2</v>
      </c>
      <c r="T71" s="21">
        <f t="shared" si="32"/>
        <v>7.6569264069264023E-2</v>
      </c>
      <c r="U71" s="21">
        <f t="shared" si="33"/>
        <v>0.11083193746510327</v>
      </c>
      <c r="V71" s="21">
        <f t="shared" si="34"/>
        <v>0.23379844961240334</v>
      </c>
      <c r="W71" s="21">
        <f t="shared" si="35"/>
        <v>0.64761904761904765</v>
      </c>
      <c r="X71" s="21">
        <f t="shared" si="36"/>
        <v>1.6281373844121543</v>
      </c>
      <c r="Y71" s="21">
        <f t="shared" si="37"/>
        <v>3.9924717691342497</v>
      </c>
      <c r="Z71" s="21">
        <f t="shared" si="38"/>
        <v>12.263333333333334</v>
      </c>
      <c r="AA71" s="23">
        <f t="shared" si="39"/>
        <v>0.66545904796222122</v>
      </c>
      <c r="AB71" s="23" cm="1">
        <f t="array" ref="AB71">EXP(INDEX(LINEST(LN($H$2:$O$2),LN(S71:Z71)),1,2))</f>
        <v>0.16118016901888257</v>
      </c>
      <c r="AC71" s="145">
        <v>0.71</v>
      </c>
      <c r="AD71" s="145">
        <f t="shared" si="40"/>
        <v>0.13508315318186159</v>
      </c>
      <c r="AE71" s="145">
        <f t="shared" si="41"/>
        <v>53.355408835532693</v>
      </c>
      <c r="AG71" s="143">
        <f t="shared" si="29"/>
        <v>99.953492680141693</v>
      </c>
      <c r="AH71" s="143">
        <f t="shared" si="28"/>
        <v>97.797618571558274</v>
      </c>
      <c r="AI71" s="143">
        <f t="shared" si="28"/>
        <v>95.623095827194248</v>
      </c>
      <c r="AJ71" s="143">
        <f t="shared" si="28"/>
        <v>91.399755632243838</v>
      </c>
      <c r="AK71" s="143">
        <f t="shared" si="28"/>
        <v>84.732380014794643</v>
      </c>
      <c r="AL71" s="143">
        <f t="shared" si="28"/>
        <v>76.208309796972998</v>
      </c>
      <c r="AM71" s="143">
        <f t="shared" si="28"/>
        <v>67.839196461645514</v>
      </c>
      <c r="AN71" s="143">
        <f t="shared" si="28"/>
        <v>61.522590911440695</v>
      </c>
      <c r="AO71" s="143">
        <f t="shared" si="28"/>
        <v>57.539941796091576</v>
      </c>
      <c r="AP71" s="143">
        <f t="shared" si="28"/>
        <v>55.412189125530631</v>
      </c>
      <c r="AQ71" s="140">
        <f t="shared" si="42"/>
        <v>6.1221097630160388</v>
      </c>
      <c r="AT71">
        <f t="shared" si="43"/>
        <v>4.6507319858307027E-4</v>
      </c>
      <c r="AU71">
        <f t="shared" si="44"/>
        <v>6.9189165617794372E-4</v>
      </c>
      <c r="AV71">
        <f t="shared" si="45"/>
        <v>1.591956542971857E-2</v>
      </c>
      <c r="AW71">
        <f t="shared" si="46"/>
        <v>4.8216644462732092E-2</v>
      </c>
      <c r="AX71">
        <f t="shared" si="47"/>
        <v>8.3577979506871639E-2</v>
      </c>
      <c r="AY71">
        <f t="shared" si="48"/>
        <v>9.6629803260158867E-2</v>
      </c>
      <c r="AZ71">
        <f t="shared" si="49"/>
        <v>9.9678879075706453E-2</v>
      </c>
      <c r="BA71">
        <f t="shared" si="50"/>
        <v>9.7644603821638476E-2</v>
      </c>
      <c r="BB71">
        <f t="shared" si="51"/>
        <v>8.9701917479962437E-2</v>
      </c>
      <c r="BC71">
        <f t="shared" si="52"/>
        <v>7.9684618410054309E-2</v>
      </c>
    </row>
    <row r="72" spans="1:55" x14ac:dyDescent="0.35">
      <c r="A72" s="73" t="s">
        <v>48</v>
      </c>
      <c r="B72" s="73">
        <v>1</v>
      </c>
      <c r="C72" s="72" t="s">
        <v>96</v>
      </c>
      <c r="D72" s="73">
        <v>69</v>
      </c>
      <c r="E72" s="74">
        <v>66.616600000000005</v>
      </c>
      <c r="F72" s="75">
        <v>31.75</v>
      </c>
      <c r="G72" s="76">
        <v>100</v>
      </c>
      <c r="H72" s="73">
        <v>96.51</v>
      </c>
      <c r="I72" s="73">
        <v>94.64</v>
      </c>
      <c r="J72" s="73">
        <v>90.62</v>
      </c>
      <c r="K72" s="73">
        <v>79.37</v>
      </c>
      <c r="L72" s="73">
        <v>68.260000000000005</v>
      </c>
      <c r="M72" s="73">
        <v>60.81</v>
      </c>
      <c r="N72" s="73">
        <v>55.05</v>
      </c>
      <c r="O72" s="73">
        <v>50.67</v>
      </c>
      <c r="P72" s="73">
        <v>47.67</v>
      </c>
      <c r="R72" s="21">
        <f t="shared" si="30"/>
        <v>0</v>
      </c>
      <c r="S72" s="21">
        <f t="shared" si="31"/>
        <v>7.1457821457821355E-2</v>
      </c>
      <c r="T72" s="21">
        <f t="shared" si="32"/>
        <v>0.11411539280391739</v>
      </c>
      <c r="U72" s="21">
        <f t="shared" si="33"/>
        <v>0.21839348079161805</v>
      </c>
      <c r="V72" s="21">
        <f t="shared" si="34"/>
        <v>0.65078864353312282</v>
      </c>
      <c r="W72" s="21">
        <f t="shared" si="35"/>
        <v>1.5415250121418158</v>
      </c>
      <c r="X72" s="21">
        <f t="shared" si="36"/>
        <v>2.9824961948249618</v>
      </c>
      <c r="Y72" s="21">
        <f t="shared" si="37"/>
        <v>6.0907859078590825</v>
      </c>
      <c r="Z72" s="21">
        <f t="shared" si="38"/>
        <v>16.443333333333332</v>
      </c>
      <c r="AA72" s="23">
        <f t="shared" si="39"/>
        <v>0.6772481177472861</v>
      </c>
      <c r="AB72" s="23" cm="1">
        <f t="array" ref="AB72">EXP(INDEX(LINEST(LN($H$2:$O$2),LN(S72:Z72)),1,2))</f>
        <v>0.11136501239954098</v>
      </c>
      <c r="AC72" s="145">
        <v>0.71</v>
      </c>
      <c r="AD72" s="145">
        <f t="shared" si="40"/>
        <v>0.11458762668546572</v>
      </c>
      <c r="AE72" s="145">
        <f t="shared" si="41"/>
        <v>48.504054372928259</v>
      </c>
      <c r="AG72" s="143">
        <f t="shared" si="29"/>
        <v>99.93528083539934</v>
      </c>
      <c r="AH72" s="143">
        <f t="shared" si="28"/>
        <v>96.971682367592834</v>
      </c>
      <c r="AI72" s="143">
        <f t="shared" si="28"/>
        <v>94.053100368747963</v>
      </c>
      <c r="AJ72" s="143">
        <f t="shared" si="28"/>
        <v>88.578135567885312</v>
      </c>
      <c r="AK72" s="143">
        <f t="shared" si="28"/>
        <v>80.419773115206453</v>
      </c>
      <c r="AL72" s="143">
        <f t="shared" si="28"/>
        <v>70.77148257105047</v>
      </c>
      <c r="AM72" s="143">
        <f t="shared" si="28"/>
        <v>62.057010558633834</v>
      </c>
      <c r="AN72" s="143">
        <f t="shared" si="28"/>
        <v>55.924220826052384</v>
      </c>
      <c r="AO72" s="143">
        <f t="shared" si="28"/>
        <v>52.237427124970417</v>
      </c>
      <c r="AP72" s="143">
        <f t="shared" si="28"/>
        <v>50.321605093884358</v>
      </c>
      <c r="AQ72" s="140">
        <f t="shared" si="42"/>
        <v>2.0712910300645491</v>
      </c>
      <c r="AT72">
        <f t="shared" si="43"/>
        <v>6.4719164600660409E-4</v>
      </c>
      <c r="AU72">
        <f t="shared" si="44"/>
        <v>4.7837775110644359E-3</v>
      </c>
      <c r="AV72">
        <f t="shared" si="45"/>
        <v>6.2013908627645605E-3</v>
      </c>
      <c r="AW72">
        <f t="shared" si="46"/>
        <v>2.2532161025322146E-2</v>
      </c>
      <c r="AX72">
        <f t="shared" si="47"/>
        <v>1.3226321219685635E-2</v>
      </c>
      <c r="AY72">
        <f t="shared" si="48"/>
        <v>3.6792888529892535E-2</v>
      </c>
      <c r="AZ72">
        <f t="shared" si="49"/>
        <v>2.0506669275346685E-2</v>
      </c>
      <c r="BA72">
        <f t="shared" si="50"/>
        <v>1.5880487303403936E-2</v>
      </c>
      <c r="BB72">
        <f t="shared" si="51"/>
        <v>3.0934026543722414E-2</v>
      </c>
      <c r="BC72">
        <f t="shared" si="52"/>
        <v>5.562418908924599E-2</v>
      </c>
    </row>
    <row r="73" spans="1:55" x14ac:dyDescent="0.35">
      <c r="A73" s="73" t="s">
        <v>48</v>
      </c>
      <c r="B73" s="73">
        <v>1</v>
      </c>
      <c r="C73" s="72" t="s">
        <v>96</v>
      </c>
      <c r="D73" s="73">
        <v>70</v>
      </c>
      <c r="E73" s="75">
        <v>3.3816999999999999</v>
      </c>
      <c r="F73" s="75">
        <v>31.8</v>
      </c>
      <c r="G73" s="76">
        <v>100</v>
      </c>
      <c r="H73" s="73">
        <v>98.66</v>
      </c>
      <c r="I73" s="73">
        <v>98.2</v>
      </c>
      <c r="J73" s="73">
        <v>97.9</v>
      </c>
      <c r="K73" s="73">
        <v>97.2</v>
      </c>
      <c r="L73" s="73">
        <v>96.1</v>
      </c>
      <c r="M73" s="73">
        <v>92.79</v>
      </c>
      <c r="N73" s="73">
        <v>85</v>
      </c>
      <c r="O73" s="73">
        <v>78.2</v>
      </c>
      <c r="P73" s="73">
        <v>74.099999999999994</v>
      </c>
      <c r="R73" s="21">
        <f t="shared" si="30"/>
        <v>0</v>
      </c>
      <c r="S73" s="21">
        <f t="shared" si="31"/>
        <v>5.4560260586319353E-2</v>
      </c>
      <c r="T73" s="21">
        <f t="shared" si="32"/>
        <v>7.4688796680497785E-2</v>
      </c>
      <c r="U73" s="21">
        <f t="shared" si="33"/>
        <v>8.8235294117646773E-2</v>
      </c>
      <c r="V73" s="21">
        <f t="shared" si="34"/>
        <v>0.12121212121212105</v>
      </c>
      <c r="W73" s="21">
        <f t="shared" si="35"/>
        <v>0.17727272727272753</v>
      </c>
      <c r="X73" s="21">
        <f t="shared" si="36"/>
        <v>0.38576779026217173</v>
      </c>
      <c r="Y73" s="21">
        <f t="shared" si="37"/>
        <v>1.376146788990825</v>
      </c>
      <c r="Z73" s="21">
        <f t="shared" si="38"/>
        <v>5.3170731707316952</v>
      </c>
      <c r="AA73" s="23">
        <f t="shared" si="39"/>
        <v>0.77476961231792918</v>
      </c>
      <c r="AB73" s="23" cm="1">
        <f t="array" ref="AB73">EXP(INDEX(LINEST(LN($H$2:$O$2),LN(S73:Z73)),1,2))</f>
        <v>0.29860475131976355</v>
      </c>
      <c r="AC73" s="145">
        <v>0.71</v>
      </c>
      <c r="AD73" s="145">
        <f t="shared" si="40"/>
        <v>0.29127268300235115</v>
      </c>
      <c r="AE73" s="145">
        <f t="shared" si="41"/>
        <v>76.008802817805716</v>
      </c>
      <c r="AG73" s="143">
        <f t="shared" si="29"/>
        <v>99.99188926250342</v>
      </c>
      <c r="AH73" s="143">
        <f t="shared" si="28"/>
        <v>99.603796079990587</v>
      </c>
      <c r="AI73" s="143">
        <f t="shared" si="28"/>
        <v>99.186729246763903</v>
      </c>
      <c r="AJ73" s="143">
        <f t="shared" si="28"/>
        <v>98.293050563650908</v>
      </c>
      <c r="AK73" s="143">
        <f t="shared" si="28"/>
        <v>96.604264374607439</v>
      </c>
      <c r="AL73" s="143">
        <f t="shared" si="28"/>
        <v>93.743731022899908</v>
      </c>
      <c r="AM73" s="143">
        <f t="shared" si="28"/>
        <v>89.69931024521776</v>
      </c>
      <c r="AN73" s="143">
        <f t="shared" si="28"/>
        <v>85.249060465856914</v>
      </c>
      <c r="AO73" s="143">
        <f t="shared" si="28"/>
        <v>81.414373922631682</v>
      </c>
      <c r="AP73" s="143">
        <f t="shared" si="28"/>
        <v>78.883497472316336</v>
      </c>
      <c r="AQ73" s="140">
        <f t="shared" si="42"/>
        <v>1.9625583249049923</v>
      </c>
      <c r="AT73">
        <f t="shared" si="43"/>
        <v>8.1107374965796458E-5</v>
      </c>
      <c r="AU73">
        <f t="shared" si="44"/>
        <v>9.566147172010854E-3</v>
      </c>
      <c r="AV73">
        <f t="shared" si="45"/>
        <v>1.0048159335681267E-2</v>
      </c>
      <c r="AW73">
        <f t="shared" si="46"/>
        <v>4.0148167890796983E-3</v>
      </c>
      <c r="AX73">
        <f t="shared" si="47"/>
        <v>6.1289673394296692E-3</v>
      </c>
      <c r="AY73">
        <f t="shared" si="48"/>
        <v>2.4518927961499338E-2</v>
      </c>
      <c r="AZ73">
        <f t="shared" si="49"/>
        <v>3.3308435766593883E-2</v>
      </c>
      <c r="BA73">
        <f t="shared" si="50"/>
        <v>2.9301231277284001E-3</v>
      </c>
      <c r="BB73">
        <f t="shared" si="51"/>
        <v>4.1104525864855239E-2</v>
      </c>
      <c r="BC73">
        <f t="shared" si="52"/>
        <v>6.4554621758655076E-2</v>
      </c>
    </row>
    <row r="74" spans="1:55" x14ac:dyDescent="0.35">
      <c r="A74" s="73" t="s">
        <v>48</v>
      </c>
      <c r="B74" s="73">
        <v>1</v>
      </c>
      <c r="C74" s="72" t="s">
        <v>96</v>
      </c>
      <c r="D74" s="73">
        <v>70</v>
      </c>
      <c r="E74" s="75">
        <v>3.3816999999999999</v>
      </c>
      <c r="F74" s="75">
        <v>31.8</v>
      </c>
      <c r="G74" s="76">
        <v>100</v>
      </c>
      <c r="H74" s="73">
        <v>98.66</v>
      </c>
      <c r="I74" s="73">
        <v>98.2</v>
      </c>
      <c r="J74" s="73">
        <v>97.9</v>
      </c>
      <c r="K74" s="73">
        <v>97.2</v>
      </c>
      <c r="L74" s="73">
        <v>96.1</v>
      </c>
      <c r="M74" s="73">
        <v>92.79</v>
      </c>
      <c r="N74" s="73">
        <v>85</v>
      </c>
      <c r="O74" s="73">
        <v>78.2</v>
      </c>
      <c r="P74" s="73">
        <v>74.099999999999994</v>
      </c>
      <c r="R74" s="21">
        <f t="shared" si="30"/>
        <v>0</v>
      </c>
      <c r="S74" s="21">
        <f t="shared" si="31"/>
        <v>5.4560260586319353E-2</v>
      </c>
      <c r="T74" s="21">
        <f t="shared" si="32"/>
        <v>7.4688796680497785E-2</v>
      </c>
      <c r="U74" s="21">
        <f t="shared" si="33"/>
        <v>8.8235294117646773E-2</v>
      </c>
      <c r="V74" s="21">
        <f t="shared" si="34"/>
        <v>0.12121212121212105</v>
      </c>
      <c r="W74" s="21">
        <f t="shared" si="35"/>
        <v>0.17727272727272753</v>
      </c>
      <c r="X74" s="21">
        <f t="shared" si="36"/>
        <v>0.38576779026217173</v>
      </c>
      <c r="Y74" s="21">
        <f t="shared" si="37"/>
        <v>1.376146788990825</v>
      </c>
      <c r="Z74" s="21">
        <f t="shared" si="38"/>
        <v>5.3170731707316952</v>
      </c>
      <c r="AA74" s="23">
        <f t="shared" si="39"/>
        <v>0.77476961231792918</v>
      </c>
      <c r="AB74" s="23" cm="1">
        <f t="array" ref="AB74">EXP(INDEX(LINEST(LN($H$2:$O$2),LN(S74:Z74)),1,2))</f>
        <v>0.29860475131976355</v>
      </c>
      <c r="AC74" s="145">
        <v>0.71</v>
      </c>
      <c r="AD74" s="145">
        <f t="shared" si="40"/>
        <v>0.29127268300235115</v>
      </c>
      <c r="AE74" s="145">
        <f t="shared" si="41"/>
        <v>76.008802817805716</v>
      </c>
      <c r="AG74" s="143">
        <f t="shared" si="29"/>
        <v>99.99188926250342</v>
      </c>
      <c r="AH74" s="143">
        <f t="shared" si="28"/>
        <v>99.603796079990587</v>
      </c>
      <c r="AI74" s="143">
        <f t="shared" si="28"/>
        <v>99.186729246763903</v>
      </c>
      <c r="AJ74" s="143">
        <f t="shared" si="28"/>
        <v>98.293050563650908</v>
      </c>
      <c r="AK74" s="143">
        <f t="shared" si="28"/>
        <v>96.604264374607439</v>
      </c>
      <c r="AL74" s="143">
        <f t="shared" si="28"/>
        <v>93.743731022899908</v>
      </c>
      <c r="AM74" s="143">
        <f t="shared" si="28"/>
        <v>89.69931024521776</v>
      </c>
      <c r="AN74" s="143">
        <f t="shared" si="28"/>
        <v>85.249060465856914</v>
      </c>
      <c r="AO74" s="143">
        <f t="shared" si="28"/>
        <v>81.414373922631682</v>
      </c>
      <c r="AP74" s="143">
        <f t="shared" si="28"/>
        <v>78.883497472316336</v>
      </c>
      <c r="AQ74" s="140">
        <f t="shared" si="42"/>
        <v>1.9625583249049923</v>
      </c>
      <c r="AT74">
        <f t="shared" si="43"/>
        <v>8.1107374965796458E-5</v>
      </c>
      <c r="AU74">
        <f t="shared" si="44"/>
        <v>9.566147172010854E-3</v>
      </c>
      <c r="AV74">
        <f t="shared" si="45"/>
        <v>1.0048159335681267E-2</v>
      </c>
      <c r="AW74">
        <f t="shared" si="46"/>
        <v>4.0148167890796983E-3</v>
      </c>
      <c r="AX74">
        <f t="shared" si="47"/>
        <v>6.1289673394296692E-3</v>
      </c>
      <c r="AY74">
        <f t="shared" si="48"/>
        <v>2.4518927961499338E-2</v>
      </c>
      <c r="AZ74">
        <f t="shared" si="49"/>
        <v>3.3308435766593883E-2</v>
      </c>
      <c r="BA74">
        <f t="shared" si="50"/>
        <v>2.9301231277284001E-3</v>
      </c>
      <c r="BB74">
        <f t="shared" si="51"/>
        <v>4.1104525864855239E-2</v>
      </c>
      <c r="BC74">
        <f t="shared" si="52"/>
        <v>6.4554621758655076E-2</v>
      </c>
    </row>
    <row r="75" spans="1:55" x14ac:dyDescent="0.35">
      <c r="A75" s="73" t="s">
        <v>48</v>
      </c>
      <c r="B75" s="73">
        <v>1</v>
      </c>
      <c r="C75" s="72" t="s">
        <v>96</v>
      </c>
      <c r="D75" s="73">
        <v>72</v>
      </c>
      <c r="E75" s="74">
        <v>89.645099999999999</v>
      </c>
      <c r="F75" s="75">
        <v>28.33</v>
      </c>
      <c r="G75" s="76">
        <v>100</v>
      </c>
      <c r="H75" s="73">
        <v>93.51</v>
      </c>
      <c r="I75" s="73">
        <v>91.33</v>
      </c>
      <c r="J75" s="73">
        <v>86.16</v>
      </c>
      <c r="K75" s="73">
        <v>74.069999999999993</v>
      </c>
      <c r="L75" s="73">
        <v>63.42</v>
      </c>
      <c r="M75" s="73">
        <v>53.92</v>
      </c>
      <c r="N75" s="73">
        <v>46.16</v>
      </c>
      <c r="O75" s="73">
        <v>39.78</v>
      </c>
      <c r="P75" s="73">
        <v>35.47</v>
      </c>
      <c r="R75" s="21">
        <f t="shared" si="30"/>
        <v>0</v>
      </c>
      <c r="S75" s="21">
        <f t="shared" si="31"/>
        <v>0.11181943487250162</v>
      </c>
      <c r="T75" s="21">
        <f t="shared" si="32"/>
        <v>0.15520945220193344</v>
      </c>
      <c r="U75" s="21">
        <f t="shared" si="33"/>
        <v>0.27303215624383514</v>
      </c>
      <c r="V75" s="21">
        <f t="shared" si="34"/>
        <v>0.67176165803108834</v>
      </c>
      <c r="W75" s="21">
        <f t="shared" si="35"/>
        <v>1.3087656529516993</v>
      </c>
      <c r="X75" s="21">
        <f t="shared" si="36"/>
        <v>2.4975609756097557</v>
      </c>
      <c r="Y75" s="21">
        <f t="shared" si="37"/>
        <v>5.0364826941066427</v>
      </c>
      <c r="Z75" s="21">
        <f t="shared" si="38"/>
        <v>13.972157772621802</v>
      </c>
      <c r="AA75" s="23">
        <f t="shared" si="39"/>
        <v>0.76842605485539406</v>
      </c>
      <c r="AB75" s="23" cm="1">
        <f t="array" ref="AB75">EXP(INDEX(LINEST(LN($H$2:$O$2),LN(S75:Z75)),1,2))</f>
        <v>0.10880847426261417</v>
      </c>
      <c r="AC75" s="145">
        <v>0.71</v>
      </c>
      <c r="AD75" s="145">
        <f t="shared" si="40"/>
        <v>0.10441868592868964</v>
      </c>
      <c r="AE75" s="145">
        <f t="shared" si="41"/>
        <v>45.764217378503218</v>
      </c>
      <c r="AG75" s="143">
        <f t="shared" si="29"/>
        <v>99.922319175998894</v>
      </c>
      <c r="AH75" s="143">
        <f t="shared" si="28"/>
        <v>96.394198675050816</v>
      </c>
      <c r="AI75" s="143">
        <f t="shared" si="28"/>
        <v>92.974288026670635</v>
      </c>
      <c r="AJ75" s="143">
        <f t="shared" si="28"/>
        <v>86.70071071600411</v>
      </c>
      <c r="AK75" s="143">
        <f t="shared" si="28"/>
        <v>77.680944599157982</v>
      </c>
      <c r="AL75" s="143">
        <f t="shared" si="28"/>
        <v>67.491812561114074</v>
      </c>
      <c r="AM75" s="143">
        <f t="shared" si="28"/>
        <v>58.704887700192394</v>
      </c>
      <c r="AN75" s="143">
        <f t="shared" si="28"/>
        <v>52.743780743410476</v>
      </c>
      <c r="AO75" s="143">
        <f t="shared" si="28"/>
        <v>49.244784013658638</v>
      </c>
      <c r="AP75" s="143">
        <f t="shared" si="28"/>
        <v>47.450924565330553</v>
      </c>
      <c r="AQ75" s="140">
        <f t="shared" si="42"/>
        <v>9.7592892308750834</v>
      </c>
      <c r="AT75">
        <f t="shared" si="43"/>
        <v>7.7680824001106433E-4</v>
      </c>
      <c r="AU75">
        <f t="shared" si="44"/>
        <v>3.0843745856601552E-2</v>
      </c>
      <c r="AV75">
        <f t="shared" si="45"/>
        <v>1.8003810650067193E-2</v>
      </c>
      <c r="AW75">
        <f t="shared" si="46"/>
        <v>6.2756582637431939E-3</v>
      </c>
      <c r="AX75">
        <f t="shared" si="47"/>
        <v>4.8750433362467788E-2</v>
      </c>
      <c r="AY75">
        <f t="shared" si="48"/>
        <v>6.4203919285936176E-2</v>
      </c>
      <c r="AZ75">
        <f t="shared" si="49"/>
        <v>8.8740498890808456E-2</v>
      </c>
      <c r="BA75">
        <f t="shared" si="50"/>
        <v>0.14262956549849393</v>
      </c>
      <c r="BB75">
        <f t="shared" si="51"/>
        <v>0.23792820547155949</v>
      </c>
      <c r="BC75">
        <f t="shared" si="52"/>
        <v>0.33777627756781942</v>
      </c>
    </row>
    <row r="76" spans="1:55" x14ac:dyDescent="0.35">
      <c r="A76" s="73" t="s">
        <v>48</v>
      </c>
      <c r="B76" s="73">
        <v>1</v>
      </c>
      <c r="C76" s="72" t="s">
        <v>97</v>
      </c>
      <c r="D76" s="73">
        <v>73</v>
      </c>
      <c r="E76" s="74">
        <v>88.275999999999996</v>
      </c>
      <c r="F76" s="75">
        <v>31.34</v>
      </c>
      <c r="G76" s="76">
        <v>100</v>
      </c>
      <c r="H76" s="73">
        <v>97.15</v>
      </c>
      <c r="I76" s="73">
        <v>95.28</v>
      </c>
      <c r="J76" s="73">
        <v>91.27</v>
      </c>
      <c r="K76" s="73">
        <v>80.760000000000005</v>
      </c>
      <c r="L76" s="73">
        <v>68.739999999999995</v>
      </c>
      <c r="M76" s="73">
        <v>58.41</v>
      </c>
      <c r="N76" s="73">
        <v>51.26</v>
      </c>
      <c r="O76" s="73">
        <v>46.34</v>
      </c>
      <c r="P76" s="73">
        <v>43.34</v>
      </c>
      <c r="R76" s="21">
        <f t="shared" si="30"/>
        <v>0</v>
      </c>
      <c r="S76" s="21">
        <f t="shared" si="31"/>
        <v>5.2964133060769268E-2</v>
      </c>
      <c r="T76" s="21">
        <f t="shared" si="32"/>
        <v>9.0874085483249892E-2</v>
      </c>
      <c r="U76" s="21">
        <f t="shared" si="33"/>
        <v>0.18214062174003767</v>
      </c>
      <c r="V76" s="21">
        <f t="shared" si="34"/>
        <v>0.51416354890432903</v>
      </c>
      <c r="W76" s="21">
        <f t="shared" si="35"/>
        <v>1.2307086614173235</v>
      </c>
      <c r="X76" s="21">
        <f t="shared" si="36"/>
        <v>2.7597876575978781</v>
      </c>
      <c r="Y76" s="21">
        <f t="shared" si="37"/>
        <v>6.1540404040404084</v>
      </c>
      <c r="Z76" s="21">
        <f t="shared" si="38"/>
        <v>17.886666666666667</v>
      </c>
      <c r="AA76" s="23">
        <f t="shared" si="39"/>
        <v>0.63796722752544377</v>
      </c>
      <c r="AB76" s="23" cm="1">
        <f t="array" ref="AB76">EXP(INDEX(LINEST(LN($H$2:$O$2),LN(S76:Z76)),1,2))</f>
        <v>0.1217115365495421</v>
      </c>
      <c r="AC76" s="145">
        <v>0.71</v>
      </c>
      <c r="AD76" s="145">
        <f t="shared" si="40"/>
        <v>0.1049229003884983</v>
      </c>
      <c r="AE76" s="145">
        <f t="shared" si="41"/>
        <v>45.906238804569988</v>
      </c>
      <c r="AG76" s="143">
        <f t="shared" si="29"/>
        <v>99.923045728889988</v>
      </c>
      <c r="AH76" s="143">
        <f t="shared" si="28"/>
        <v>96.426351996862465</v>
      </c>
      <c r="AI76" s="143">
        <f t="shared" si="28"/>
        <v>93.033965605178381</v>
      </c>
      <c r="AJ76" s="143">
        <f t="shared" si="28"/>
        <v>86.803346324206046</v>
      </c>
      <c r="AK76" s="143">
        <f t="shared" si="28"/>
        <v>77.828214989243392</v>
      </c>
      <c r="AL76" s="143">
        <f t="shared" si="28"/>
        <v>67.665125011944681</v>
      </c>
      <c r="AM76" s="143">
        <f t="shared" si="28"/>
        <v>58.87981598875178</v>
      </c>
      <c r="AN76" s="143">
        <f t="shared" si="28"/>
        <v>52.908781681938876</v>
      </c>
      <c r="AO76" s="143">
        <f t="shared" si="28"/>
        <v>49.399797890358784</v>
      </c>
      <c r="AP76" s="143">
        <f t="shared" si="28"/>
        <v>47.599623356235561</v>
      </c>
      <c r="AQ76" s="140">
        <f t="shared" si="42"/>
        <v>3.3719113740457884</v>
      </c>
      <c r="AT76">
        <f t="shared" si="43"/>
        <v>7.6954271110011522E-4</v>
      </c>
      <c r="AU76">
        <f t="shared" si="44"/>
        <v>7.4487699756823544E-3</v>
      </c>
      <c r="AV76">
        <f t="shared" si="45"/>
        <v>2.3572989030453618E-2</v>
      </c>
      <c r="AW76">
        <f t="shared" si="46"/>
        <v>4.8938902988867647E-2</v>
      </c>
      <c r="AX76">
        <f t="shared" si="47"/>
        <v>3.6302439459591544E-2</v>
      </c>
      <c r="AY76">
        <f t="shared" si="48"/>
        <v>1.5636819727310351E-2</v>
      </c>
      <c r="AZ76">
        <f t="shared" si="49"/>
        <v>8.0434170305047643E-3</v>
      </c>
      <c r="BA76">
        <f t="shared" si="50"/>
        <v>3.2165073779533329E-2</v>
      </c>
      <c r="BB76">
        <f t="shared" si="51"/>
        <v>6.6029302769934822E-2</v>
      </c>
      <c r="BC76">
        <f t="shared" si="52"/>
        <v>9.8283879931600315E-2</v>
      </c>
    </row>
    <row r="77" spans="1:55" x14ac:dyDescent="0.35">
      <c r="A77" s="73" t="s">
        <v>48</v>
      </c>
      <c r="B77" s="73">
        <v>1</v>
      </c>
      <c r="C77" s="72" t="s">
        <v>97</v>
      </c>
      <c r="D77" s="73">
        <v>74</v>
      </c>
      <c r="E77" s="74">
        <v>154.18119999999999</v>
      </c>
      <c r="F77" s="75">
        <v>32.4</v>
      </c>
      <c r="G77" s="76">
        <v>100</v>
      </c>
      <c r="H77" s="73">
        <v>95.76</v>
      </c>
      <c r="I77" s="73">
        <v>92.15</v>
      </c>
      <c r="J77" s="73">
        <v>80.959999999999994</v>
      </c>
      <c r="K77" s="73">
        <v>68.760000000000005</v>
      </c>
      <c r="L77" s="73">
        <v>59.36</v>
      </c>
      <c r="M77" s="73">
        <v>51.65</v>
      </c>
      <c r="N77" s="73">
        <v>46.08</v>
      </c>
      <c r="O77" s="73">
        <v>42.01</v>
      </c>
      <c r="P77" s="73">
        <v>39.31</v>
      </c>
      <c r="R77" s="21">
        <f t="shared" si="30"/>
        <v>0</v>
      </c>
      <c r="S77" s="21">
        <f t="shared" si="31"/>
        <v>7.5110717449069886E-2</v>
      </c>
      <c r="T77" s="21">
        <f t="shared" si="32"/>
        <v>0.14856169568508693</v>
      </c>
      <c r="U77" s="21">
        <f t="shared" si="33"/>
        <v>0.45714285714285741</v>
      </c>
      <c r="V77" s="21">
        <f t="shared" si="34"/>
        <v>1.0607809847198639</v>
      </c>
      <c r="W77" s="21">
        <f t="shared" si="35"/>
        <v>2.0269326683291773</v>
      </c>
      <c r="X77" s="21">
        <f t="shared" si="36"/>
        <v>3.9181523500810385</v>
      </c>
      <c r="Y77" s="21">
        <f t="shared" si="37"/>
        <v>7.9645494830132986</v>
      </c>
      <c r="Z77" s="21">
        <f t="shared" si="38"/>
        <v>21.477777777777813</v>
      </c>
      <c r="AA77" s="23">
        <f t="shared" si="39"/>
        <v>0.67852367635563349</v>
      </c>
      <c r="AB77" s="23" cm="1">
        <f t="array" ref="AB77">EXP(INDEX(LINEST(LN($H$2:$O$2),LN(S77:Z77)),1,2))</f>
        <v>8.9161996978000063E-2</v>
      </c>
      <c r="AC77" s="145">
        <v>0.71</v>
      </c>
      <c r="AD77" s="145">
        <f t="shared" si="40"/>
        <v>8.8118115470031497E-2</v>
      </c>
      <c r="AE77" s="145">
        <f t="shared" si="41"/>
        <v>40.760149887219278</v>
      </c>
      <c r="AG77" s="143">
        <f t="shared" si="29"/>
        <v>99.89228031502897</v>
      </c>
      <c r="AH77" s="143">
        <f t="shared" si="28"/>
        <v>95.086139404700077</v>
      </c>
      <c r="AI77" s="143">
        <f t="shared" si="28"/>
        <v>90.583130438246229</v>
      </c>
      <c r="AJ77" s="143">
        <f t="shared" si="28"/>
        <v>82.696623364661761</v>
      </c>
      <c r="AK77" s="143">
        <f t="shared" si="28"/>
        <v>72.134958214039372</v>
      </c>
      <c r="AL77" s="143">
        <f t="shared" si="28"/>
        <v>61.186185133588459</v>
      </c>
      <c r="AM77" s="143">
        <f t="shared" si="28"/>
        <v>52.484142452384781</v>
      </c>
      <c r="AN77" s="143">
        <f t="shared" si="28"/>
        <v>46.931560458306315</v>
      </c>
      <c r="AO77" s="143">
        <f t="shared" si="28"/>
        <v>43.794905980650675</v>
      </c>
      <c r="AP77" s="143">
        <f t="shared" si="28"/>
        <v>42.220402425470539</v>
      </c>
      <c r="AQ77" s="140">
        <f t="shared" si="42"/>
        <v>2.775705566730597</v>
      </c>
      <c r="AT77">
        <f t="shared" si="43"/>
        <v>1.0771968497103046E-3</v>
      </c>
      <c r="AU77">
        <f t="shared" si="44"/>
        <v>7.0369736351287371E-3</v>
      </c>
      <c r="AV77">
        <f t="shared" si="45"/>
        <v>1.700346784323143E-2</v>
      </c>
      <c r="AW77">
        <f t="shared" si="46"/>
        <v>2.1450387409359777E-2</v>
      </c>
      <c r="AX77">
        <f t="shared" si="47"/>
        <v>4.9083161926110626E-2</v>
      </c>
      <c r="AY77">
        <f t="shared" si="48"/>
        <v>3.0764574352905322E-2</v>
      </c>
      <c r="AZ77">
        <f t="shared" si="49"/>
        <v>1.6149902272696651E-2</v>
      </c>
      <c r="BA77">
        <f t="shared" si="50"/>
        <v>1.8480044668105829E-2</v>
      </c>
      <c r="BB77">
        <f t="shared" si="51"/>
        <v>4.2487645338030886E-2</v>
      </c>
      <c r="BC77">
        <f t="shared" si="52"/>
        <v>7.4037202377780109E-2</v>
      </c>
    </row>
    <row r="78" spans="1:55" x14ac:dyDescent="0.35">
      <c r="A78" s="73" t="s">
        <v>48</v>
      </c>
      <c r="B78" s="73">
        <v>1</v>
      </c>
      <c r="C78" s="72" t="s">
        <v>97</v>
      </c>
      <c r="D78" s="73">
        <v>75</v>
      </c>
      <c r="E78" s="74">
        <v>148.3305</v>
      </c>
      <c r="F78" s="75">
        <v>32.22</v>
      </c>
      <c r="G78" s="76">
        <v>100</v>
      </c>
      <c r="H78" s="73">
        <v>95.82</v>
      </c>
      <c r="I78" s="73">
        <v>93</v>
      </c>
      <c r="J78" s="73">
        <v>82.1</v>
      </c>
      <c r="K78" s="73">
        <v>69.39</v>
      </c>
      <c r="L78" s="73">
        <v>60.07</v>
      </c>
      <c r="M78" s="73">
        <v>52.68</v>
      </c>
      <c r="N78" s="73">
        <v>47.16</v>
      </c>
      <c r="O78" s="73">
        <v>43</v>
      </c>
      <c r="P78" s="73">
        <v>40.47</v>
      </c>
      <c r="R78" s="21">
        <f t="shared" si="30"/>
        <v>0</v>
      </c>
      <c r="S78" s="21">
        <f t="shared" si="31"/>
        <v>7.5519421860885408E-2</v>
      </c>
      <c r="T78" s="21">
        <f t="shared" si="32"/>
        <v>0.1332571863696935</v>
      </c>
      <c r="U78" s="21">
        <f t="shared" si="33"/>
        <v>0.42997838097525842</v>
      </c>
      <c r="V78" s="21">
        <f t="shared" si="34"/>
        <v>1.0584370677731674</v>
      </c>
      <c r="W78" s="21">
        <f t="shared" si="35"/>
        <v>2.0372448979591837</v>
      </c>
      <c r="X78" s="21">
        <f t="shared" si="36"/>
        <v>3.8755118755118754</v>
      </c>
      <c r="Y78" s="21">
        <f t="shared" si="37"/>
        <v>7.8983557548580006</v>
      </c>
      <c r="Z78" s="21">
        <f t="shared" si="38"/>
        <v>22.529644268774693</v>
      </c>
      <c r="AA78" s="23">
        <f t="shared" si="39"/>
        <v>0.66816349081037341</v>
      </c>
      <c r="AB78" s="23" cm="1">
        <f t="array" ref="AB78">EXP(INDEX(LINEST(LN($H$2:$O$2),LN(S78:Z78)),1,2))</f>
        <v>9.0392418227921892E-2</v>
      </c>
      <c r="AC78" s="145">
        <v>0.71</v>
      </c>
      <c r="AD78" s="145">
        <f t="shared" si="40"/>
        <v>8.9191589022970974E-2</v>
      </c>
      <c r="AE78" s="145">
        <f t="shared" si="41"/>
        <v>41.11714099085124</v>
      </c>
      <c r="AG78" s="143">
        <f t="shared" si="29"/>
        <v>99.89473675708625</v>
      </c>
      <c r="AH78" s="143">
        <f t="shared" si="28"/>
        <v>95.191598373177413</v>
      </c>
      <c r="AI78" s="143">
        <f t="shared" si="28"/>
        <v>90.773354601457342</v>
      </c>
      <c r="AJ78" s="143">
        <f t="shared" si="28"/>
        <v>83.00780237351114</v>
      </c>
      <c r="AK78" s="143">
        <f t="shared" si="28"/>
        <v>72.552917453482564</v>
      </c>
      <c r="AL78" s="143">
        <f t="shared" si="28"/>
        <v>61.647546261623191</v>
      </c>
      <c r="AM78" s="143">
        <f t="shared" si="28"/>
        <v>52.93071235445678</v>
      </c>
      <c r="AN78" s="143">
        <f t="shared" si="28"/>
        <v>47.345712869816921</v>
      </c>
      <c r="AO78" s="143">
        <f t="shared" si="28"/>
        <v>44.182792867718355</v>
      </c>
      <c r="AP78" s="143">
        <f t="shared" si="28"/>
        <v>42.592933934725345</v>
      </c>
      <c r="AQ78" s="140">
        <f t="shared" si="42"/>
        <v>2.0311490337636995</v>
      </c>
      <c r="AT78">
        <f t="shared" si="43"/>
        <v>1.0526324291375033E-3</v>
      </c>
      <c r="AU78">
        <f t="shared" si="44"/>
        <v>6.5581468046606124E-3</v>
      </c>
      <c r="AV78">
        <f t="shared" si="45"/>
        <v>2.3942423640243633E-2</v>
      </c>
      <c r="AW78">
        <f t="shared" si="46"/>
        <v>1.1057276169441485E-2</v>
      </c>
      <c r="AX78">
        <f t="shared" si="47"/>
        <v>4.5581747420126294E-2</v>
      </c>
      <c r="AY78">
        <f t="shared" si="48"/>
        <v>2.6261798928303489E-2</v>
      </c>
      <c r="AZ78">
        <f t="shared" si="49"/>
        <v>4.7591563108728254E-3</v>
      </c>
      <c r="BA78">
        <f t="shared" si="50"/>
        <v>3.9379319299602377E-3</v>
      </c>
      <c r="BB78">
        <f t="shared" si="51"/>
        <v>2.7506810877171047E-2</v>
      </c>
      <c r="BC78">
        <f t="shared" si="52"/>
        <v>5.2456978866452827E-2</v>
      </c>
    </row>
    <row r="79" spans="1:55" x14ac:dyDescent="0.35">
      <c r="A79" s="73" t="s">
        <v>48</v>
      </c>
      <c r="B79" s="73">
        <v>1</v>
      </c>
      <c r="C79" s="72" t="s">
        <v>97</v>
      </c>
      <c r="D79" s="73">
        <v>77</v>
      </c>
      <c r="E79" s="74">
        <v>148.87970000000001</v>
      </c>
      <c r="F79" s="75">
        <v>32.619999999999997</v>
      </c>
      <c r="G79" s="76">
        <v>100</v>
      </c>
      <c r="H79" s="73">
        <v>94.61</v>
      </c>
      <c r="I79" s="73">
        <v>92.3</v>
      </c>
      <c r="J79" s="73">
        <v>81.83</v>
      </c>
      <c r="K79" s="73">
        <v>67.849999999999994</v>
      </c>
      <c r="L79" s="73">
        <v>57.77</v>
      </c>
      <c r="M79" s="73">
        <v>49.9</v>
      </c>
      <c r="N79" s="73">
        <v>43.86</v>
      </c>
      <c r="O79" s="73">
        <v>40.03</v>
      </c>
      <c r="P79" s="73">
        <v>37.869999999999997</v>
      </c>
      <c r="R79" s="21">
        <f t="shared" si="30"/>
        <v>0</v>
      </c>
      <c r="S79" s="21">
        <f t="shared" si="31"/>
        <v>9.4994712724709204E-2</v>
      </c>
      <c r="T79" s="21">
        <f t="shared" si="32"/>
        <v>0.14146610325188322</v>
      </c>
      <c r="U79" s="21">
        <f t="shared" si="33"/>
        <v>0.41333030027297546</v>
      </c>
      <c r="V79" s="21">
        <f t="shared" si="34"/>
        <v>1.0723815877251504</v>
      </c>
      <c r="W79" s="21">
        <f t="shared" si="35"/>
        <v>2.1221105527638184</v>
      </c>
      <c r="X79" s="21">
        <f t="shared" si="36"/>
        <v>4.164588528678304</v>
      </c>
      <c r="Y79" s="21">
        <f t="shared" si="37"/>
        <v>9.3722871452420673</v>
      </c>
      <c r="Z79" s="21">
        <f t="shared" si="38"/>
        <v>27.76388888888884</v>
      </c>
      <c r="AA79" s="23">
        <f t="shared" si="39"/>
        <v>0.660874898646993</v>
      </c>
      <c r="AB79" s="23" cm="1">
        <f t="array" ref="AB79">EXP(INDEX(LINEST(LN($H$2:$O$2),LN(S79:Z79)),1,2))</f>
        <v>8.5067013340717104E-2</v>
      </c>
      <c r="AC79" s="145">
        <v>0.71</v>
      </c>
      <c r="AD79" s="145">
        <f t="shared" si="40"/>
        <v>8.9088475794373984E-2</v>
      </c>
      <c r="AE79" s="145">
        <f t="shared" si="41"/>
        <v>41.08303702424211</v>
      </c>
      <c r="AG79" s="143">
        <f t="shared" si="29"/>
        <v>99.894504360308019</v>
      </c>
      <c r="AH79" s="143">
        <f t="shared" si="28"/>
        <v>95.181610072961718</v>
      </c>
      <c r="AI79" s="143">
        <f t="shared" si="28"/>
        <v>90.75531938062781</v>
      </c>
      <c r="AJ79" s="143">
        <f t="shared" si="28"/>
        <v>82.978247348317566</v>
      </c>
      <c r="AK79" s="143">
        <f t="shared" si="28"/>
        <v>72.513131994271433</v>
      </c>
      <c r="AL79" s="143">
        <f t="shared" si="28"/>
        <v>61.603539541557893</v>
      </c>
      <c r="AM79" s="143">
        <f t="shared" si="28"/>
        <v>52.888063650266027</v>
      </c>
      <c r="AN79" s="143">
        <f t="shared" si="28"/>
        <v>47.306142588998043</v>
      </c>
      <c r="AO79" s="143">
        <f t="shared" si="28"/>
        <v>44.145730566591581</v>
      </c>
      <c r="AP79" s="143">
        <f t="shared" si="28"/>
        <v>42.557341030154134</v>
      </c>
      <c r="AQ79" s="140">
        <f t="shared" si="42"/>
        <v>5.3799310811515664</v>
      </c>
      <c r="AT79">
        <f t="shared" si="43"/>
        <v>1.0549563969198062E-3</v>
      </c>
      <c r="AU79">
        <f t="shared" si="44"/>
        <v>6.041751114699484E-3</v>
      </c>
      <c r="AV79">
        <f t="shared" si="45"/>
        <v>1.6735434662753922E-2</v>
      </c>
      <c r="AW79">
        <f t="shared" si="46"/>
        <v>1.403210739725734E-2</v>
      </c>
      <c r="AX79">
        <f t="shared" si="47"/>
        <v>6.8727074344457462E-2</v>
      </c>
      <c r="AY79">
        <f t="shared" si="48"/>
        <v>6.6358655730619526E-2</v>
      </c>
      <c r="AZ79">
        <f t="shared" si="49"/>
        <v>5.9881035075471503E-2</v>
      </c>
      <c r="BA79">
        <f t="shared" si="50"/>
        <v>7.8571422457775722E-2</v>
      </c>
      <c r="BB79">
        <f t="shared" si="51"/>
        <v>0.10281615205075144</v>
      </c>
      <c r="BC79">
        <f t="shared" si="52"/>
        <v>0.12377451888445042</v>
      </c>
    </row>
    <row r="80" spans="1:55" x14ac:dyDescent="0.35">
      <c r="A80" s="73" t="s">
        <v>48</v>
      </c>
      <c r="B80" s="73">
        <v>1</v>
      </c>
      <c r="C80" s="72" t="s">
        <v>97</v>
      </c>
      <c r="D80" s="73">
        <v>78</v>
      </c>
      <c r="E80" s="74">
        <v>97.968000000000004</v>
      </c>
      <c r="F80" s="75">
        <v>31.69</v>
      </c>
      <c r="G80" s="76">
        <v>100</v>
      </c>
      <c r="H80" s="73">
        <v>96.55</v>
      </c>
      <c r="I80" s="73">
        <v>93.37</v>
      </c>
      <c r="J80" s="73">
        <v>87.4</v>
      </c>
      <c r="K80" s="73">
        <v>75.650000000000006</v>
      </c>
      <c r="L80" s="73">
        <v>64.5</v>
      </c>
      <c r="M80" s="73">
        <v>57.32</v>
      </c>
      <c r="N80" s="73">
        <v>51.51</v>
      </c>
      <c r="O80" s="73">
        <v>47.64</v>
      </c>
      <c r="P80" s="73">
        <v>45.06</v>
      </c>
      <c r="R80" s="21">
        <f t="shared" si="30"/>
        <v>0</v>
      </c>
      <c r="S80" s="21">
        <f t="shared" si="31"/>
        <v>6.700330161196355E-2</v>
      </c>
      <c r="T80" s="21">
        <f t="shared" si="32"/>
        <v>0.13723866694266187</v>
      </c>
      <c r="U80" s="21">
        <f t="shared" si="33"/>
        <v>0.29759093056211605</v>
      </c>
      <c r="V80" s="21">
        <f t="shared" si="34"/>
        <v>0.79601176855181399</v>
      </c>
      <c r="W80" s="21">
        <f t="shared" si="35"/>
        <v>1.8261316872427986</v>
      </c>
      <c r="X80" s="21">
        <f t="shared" si="36"/>
        <v>3.4812398042414361</v>
      </c>
      <c r="Y80" s="21">
        <f t="shared" si="37"/>
        <v>7.5178294573643463</v>
      </c>
      <c r="Z80" s="21">
        <f t="shared" si="38"/>
        <v>20.294573643410867</v>
      </c>
      <c r="AA80" s="23">
        <f t="shared" si="39"/>
        <v>0.6644808317895925</v>
      </c>
      <c r="AB80" s="23" cm="1">
        <f t="array" ref="AB80">EXP(INDEX(LINEST(LN($H$2:$O$2),LN(S80:Z80)),1,2))</f>
        <v>9.9238046455909737E-2</v>
      </c>
      <c r="AC80" s="145">
        <v>0.71</v>
      </c>
      <c r="AD80" s="145">
        <f t="shared" si="40"/>
        <v>0.10155695426563942</v>
      </c>
      <c r="AE80" s="145">
        <f t="shared" si="41"/>
        <v>44.944933823379891</v>
      </c>
      <c r="AG80" s="143">
        <f t="shared" si="29"/>
        <v>99.918002929005112</v>
      </c>
      <c r="AH80" s="143">
        <f t="shared" si="28"/>
        <v>96.203703123447667</v>
      </c>
      <c r="AI80" s="143">
        <f t="shared" si="28"/>
        <v>92.621639123828402</v>
      </c>
      <c r="AJ80" s="143">
        <f t="shared" si="28"/>
        <v>86.097026718983599</v>
      </c>
      <c r="AK80" s="143">
        <f t="shared" si="28"/>
        <v>76.820213604308918</v>
      </c>
      <c r="AL80" s="143">
        <f t="shared" si="28"/>
        <v>66.48539645224291</v>
      </c>
      <c r="AM80" s="143">
        <f t="shared" si="28"/>
        <v>57.693633336591624</v>
      </c>
      <c r="AN80" s="143">
        <f t="shared" si="28"/>
        <v>51.791805414364887</v>
      </c>
      <c r="AO80" s="143">
        <f t="shared" si="28"/>
        <v>48.350853899332343</v>
      </c>
      <c r="AP80" s="143">
        <f t="shared" si="28"/>
        <v>46.593368850379811</v>
      </c>
      <c r="AQ80" s="140">
        <f t="shared" si="42"/>
        <v>1.345200922608526</v>
      </c>
      <c r="AT80">
        <f t="shared" si="43"/>
        <v>8.1997070994887622E-4</v>
      </c>
      <c r="AU80">
        <f t="shared" si="44"/>
        <v>3.5867102698325221E-3</v>
      </c>
      <c r="AV80">
        <f t="shared" si="45"/>
        <v>8.0150034933233662E-3</v>
      </c>
      <c r="AW80">
        <f t="shared" si="46"/>
        <v>1.4908161110027532E-2</v>
      </c>
      <c r="AX80">
        <f t="shared" si="47"/>
        <v>1.5468785251935393E-2</v>
      </c>
      <c r="AY80">
        <f t="shared" si="48"/>
        <v>3.0781340344851311E-2</v>
      </c>
      <c r="AZ80">
        <f t="shared" si="49"/>
        <v>6.5183764234407497E-3</v>
      </c>
      <c r="BA80">
        <f t="shared" si="50"/>
        <v>5.4708874852434355E-3</v>
      </c>
      <c r="BB80">
        <f t="shared" si="51"/>
        <v>1.4921366484725905E-2</v>
      </c>
      <c r="BC80">
        <f t="shared" si="52"/>
        <v>3.4029490687523492E-2</v>
      </c>
    </row>
    <row r="81" spans="1:55" x14ac:dyDescent="0.35">
      <c r="A81" s="73" t="s">
        <v>48</v>
      </c>
      <c r="B81" s="73">
        <v>1</v>
      </c>
      <c r="C81" s="72" t="s">
        <v>97</v>
      </c>
      <c r="D81" s="73">
        <v>79</v>
      </c>
      <c r="E81" s="74">
        <v>60.822400000000002</v>
      </c>
      <c r="F81" s="75">
        <v>33.39</v>
      </c>
      <c r="G81" s="76">
        <v>100</v>
      </c>
      <c r="H81" s="73">
        <v>97.05</v>
      </c>
      <c r="I81" s="73">
        <v>95.18</v>
      </c>
      <c r="J81" s="73">
        <v>91.91</v>
      </c>
      <c r="K81" s="73">
        <v>81.45</v>
      </c>
      <c r="L81" s="73">
        <v>70.48</v>
      </c>
      <c r="M81" s="73">
        <v>62.03</v>
      </c>
      <c r="N81" s="73">
        <v>55.69</v>
      </c>
      <c r="O81" s="73">
        <v>51.52</v>
      </c>
      <c r="P81" s="73">
        <v>48.96</v>
      </c>
      <c r="R81" s="21">
        <f t="shared" si="30"/>
        <v>0</v>
      </c>
      <c r="S81" s="21">
        <f t="shared" si="31"/>
        <v>6.134331461842385E-2</v>
      </c>
      <c r="T81" s="21">
        <f t="shared" si="32"/>
        <v>0.10428385980095181</v>
      </c>
      <c r="U81" s="21">
        <f t="shared" si="33"/>
        <v>0.18835855646100128</v>
      </c>
      <c r="V81" s="21">
        <f t="shared" si="34"/>
        <v>0.5709449061249614</v>
      </c>
      <c r="W81" s="21">
        <f t="shared" si="35"/>
        <v>1.3717472118959104</v>
      </c>
      <c r="X81" s="21">
        <f t="shared" si="36"/>
        <v>2.9051262433052791</v>
      </c>
      <c r="Y81" s="21">
        <f t="shared" si="37"/>
        <v>6.58395245170877</v>
      </c>
      <c r="Z81" s="21">
        <f t="shared" si="38"/>
        <v>18.937499999999982</v>
      </c>
      <c r="AA81" s="23">
        <f t="shared" si="39"/>
        <v>0.6452604895470192</v>
      </c>
      <c r="AB81" s="23" cm="1">
        <f t="array" ref="AB81">EXP(INDEX(LINEST(LN($H$2:$O$2),LN(S81:Z81)),1,2))</f>
        <v>0.11514945006625769</v>
      </c>
      <c r="AC81" s="145">
        <v>0.71</v>
      </c>
      <c r="AD81" s="145">
        <f t="shared" si="40"/>
        <v>0.11789819153254499</v>
      </c>
      <c r="AE81" s="145">
        <f t="shared" si="41"/>
        <v>49.343762264014806</v>
      </c>
      <c r="AG81" s="143">
        <f t="shared" si="29"/>
        <v>99.938836470016469</v>
      </c>
      <c r="AH81" s="143">
        <f t="shared" si="28"/>
        <v>97.131565050611812</v>
      </c>
      <c r="AI81" s="143">
        <f t="shared" si="28"/>
        <v>94.354461581275103</v>
      </c>
      <c r="AJ81" s="143">
        <f t="shared" si="28"/>
        <v>89.111213789852883</v>
      </c>
      <c r="AK81" s="143">
        <f t="shared" si="28"/>
        <v>81.215568651038424</v>
      </c>
      <c r="AL81" s="143">
        <f t="shared" si="28"/>
        <v>71.748115532515556</v>
      </c>
      <c r="AM81" s="143">
        <f t="shared" si="28"/>
        <v>63.073502548219707</v>
      </c>
      <c r="AN81" s="143">
        <f t="shared" si="28"/>
        <v>56.897143698955013</v>
      </c>
      <c r="AO81" s="143">
        <f t="shared" si="28"/>
        <v>53.155264249503546</v>
      </c>
      <c r="AP81" s="143">
        <f t="shared" si="28"/>
        <v>51.202170847422266</v>
      </c>
      <c r="AQ81" s="140">
        <f t="shared" si="42"/>
        <v>1.7748271177739559</v>
      </c>
      <c r="AT81">
        <f t="shared" si="43"/>
        <v>6.1163529983531361E-4</v>
      </c>
      <c r="AU81">
        <f t="shared" si="44"/>
        <v>8.4044359208464332E-4</v>
      </c>
      <c r="AV81">
        <f t="shared" si="45"/>
        <v>8.6734441975720045E-3</v>
      </c>
      <c r="AW81">
        <f t="shared" si="46"/>
        <v>3.0451378632870351E-2</v>
      </c>
      <c r="AX81">
        <f t="shared" si="47"/>
        <v>2.8782240510936597E-3</v>
      </c>
      <c r="AY81">
        <f t="shared" si="48"/>
        <v>1.799255863387559E-2</v>
      </c>
      <c r="AZ81">
        <f t="shared" si="49"/>
        <v>1.6822546319840499E-2</v>
      </c>
      <c r="BA81">
        <f t="shared" si="50"/>
        <v>2.1676130345753549E-2</v>
      </c>
      <c r="BB81">
        <f t="shared" si="51"/>
        <v>3.1740377513655715E-2</v>
      </c>
      <c r="BC81">
        <f t="shared" si="52"/>
        <v>4.5795973190814243E-2</v>
      </c>
    </row>
    <row r="82" spans="1:55" x14ac:dyDescent="0.35">
      <c r="A82" s="73" t="s">
        <v>48</v>
      </c>
      <c r="B82" s="73">
        <v>1</v>
      </c>
      <c r="C82" s="72" t="s">
        <v>97</v>
      </c>
      <c r="D82" s="73">
        <v>80</v>
      </c>
      <c r="E82" s="74">
        <v>77.78</v>
      </c>
      <c r="F82" s="75">
        <v>32.28</v>
      </c>
      <c r="G82" s="76">
        <v>100</v>
      </c>
      <c r="H82" s="73">
        <v>97.93</v>
      </c>
      <c r="I82" s="73">
        <v>96.06</v>
      </c>
      <c r="J82" s="73">
        <v>91.31</v>
      </c>
      <c r="K82" s="73">
        <v>79.900000000000006</v>
      </c>
      <c r="L82" s="73">
        <v>68.87</v>
      </c>
      <c r="M82" s="73">
        <v>59.62</v>
      </c>
      <c r="N82" s="73">
        <v>52.97</v>
      </c>
      <c r="O82" s="73">
        <v>48.5</v>
      </c>
      <c r="P82" s="73">
        <v>45.94</v>
      </c>
      <c r="R82" s="21">
        <f t="shared" si="30"/>
        <v>0</v>
      </c>
      <c r="S82" s="21">
        <f t="shared" si="31"/>
        <v>3.9815349105597093E-2</v>
      </c>
      <c r="T82" s="21">
        <f t="shared" si="32"/>
        <v>7.8611332801276884E-2</v>
      </c>
      <c r="U82" s="21">
        <f t="shared" si="33"/>
        <v>0.19153625743883618</v>
      </c>
      <c r="V82" s="21">
        <f t="shared" si="34"/>
        <v>0.59187279151943428</v>
      </c>
      <c r="W82" s="21">
        <f t="shared" si="35"/>
        <v>1.3576101177496722</v>
      </c>
      <c r="X82" s="21">
        <f t="shared" si="36"/>
        <v>2.9517543859649127</v>
      </c>
      <c r="Y82" s="21">
        <f t="shared" si="37"/>
        <v>6.6899004267425308</v>
      </c>
      <c r="Z82" s="21">
        <f t="shared" si="38"/>
        <v>20.117187499999982</v>
      </c>
      <c r="AA82" s="23">
        <f t="shared" si="39"/>
        <v>0.60546349797363552</v>
      </c>
      <c r="AB82" s="23" cm="1">
        <f t="array" ref="AB82">EXP(INDEX(LINEST(LN($H$2:$O$2),LN(S82:Z82)),1,2))</f>
        <v>0.11967721071497385</v>
      </c>
      <c r="AC82" s="145">
        <v>0.71</v>
      </c>
      <c r="AD82" s="145">
        <f t="shared" si="40"/>
        <v>0.10916347966143525</v>
      </c>
      <c r="AE82" s="145">
        <f t="shared" si="41"/>
        <v>47.074355414501689</v>
      </c>
      <c r="AG82" s="143">
        <f t="shared" si="29"/>
        <v>99.928788536492249</v>
      </c>
      <c r="AH82" s="143">
        <f t="shared" si="28"/>
        <v>96.681395883272103</v>
      </c>
      <c r="AI82" s="143">
        <f t="shared" si="28"/>
        <v>93.508943478568028</v>
      </c>
      <c r="AJ82" s="143">
        <f t="shared" si="28"/>
        <v>87.625252112721611</v>
      </c>
      <c r="AK82" s="143">
        <f t="shared" si="28"/>
        <v>79.017616745792566</v>
      </c>
      <c r="AL82" s="143">
        <f t="shared" si="28"/>
        <v>69.07722320000218</v>
      </c>
      <c r="AM82" s="143">
        <f t="shared" si="28"/>
        <v>60.314023326840768</v>
      </c>
      <c r="AN82" s="143">
        <f t="shared" si="28"/>
        <v>54.265458414806425</v>
      </c>
      <c r="AO82" s="143">
        <f t="shared" si="28"/>
        <v>50.675293696731131</v>
      </c>
      <c r="AP82" s="143">
        <f t="shared" si="28"/>
        <v>48.823115987169132</v>
      </c>
      <c r="AQ82" s="140">
        <f t="shared" si="42"/>
        <v>2.3813269564941382</v>
      </c>
      <c r="AT82">
        <f t="shared" si="43"/>
        <v>7.1211463507751208E-4</v>
      </c>
      <c r="AU82">
        <f t="shared" si="44"/>
        <v>1.2749965452138303E-2</v>
      </c>
      <c r="AV82">
        <f t="shared" si="45"/>
        <v>2.6556907364480263E-2</v>
      </c>
      <c r="AW82">
        <f t="shared" si="46"/>
        <v>4.0354264453820947E-2</v>
      </c>
      <c r="AX82">
        <f t="shared" si="47"/>
        <v>1.1043595171557445E-2</v>
      </c>
      <c r="AY82">
        <f t="shared" si="48"/>
        <v>3.0089037316999509E-3</v>
      </c>
      <c r="AZ82">
        <f t="shared" si="49"/>
        <v>1.1640780389815012E-2</v>
      </c>
      <c r="BA82">
        <f t="shared" si="50"/>
        <v>2.4456454876466409E-2</v>
      </c>
      <c r="BB82">
        <f t="shared" si="51"/>
        <v>4.4851416427446007E-2</v>
      </c>
      <c r="BC82">
        <f t="shared" si="52"/>
        <v>6.2758293146911934E-2</v>
      </c>
    </row>
    <row r="83" spans="1:55" x14ac:dyDescent="0.35">
      <c r="A83" s="73" t="s">
        <v>48</v>
      </c>
      <c r="B83" s="73">
        <v>1</v>
      </c>
      <c r="C83" s="72" t="s">
        <v>97</v>
      </c>
      <c r="D83" s="73">
        <v>81</v>
      </c>
      <c r="E83" s="75">
        <v>19.978000000000002</v>
      </c>
      <c r="F83" s="75">
        <v>30.88</v>
      </c>
      <c r="G83" s="76">
        <v>100</v>
      </c>
      <c r="H83" s="73">
        <v>98.24</v>
      </c>
      <c r="I83" s="73">
        <v>97.04</v>
      </c>
      <c r="J83" s="73">
        <v>95.84</v>
      </c>
      <c r="K83" s="73">
        <v>92.84</v>
      </c>
      <c r="L83" s="73">
        <v>86.33</v>
      </c>
      <c r="M83" s="73">
        <v>78.819999999999993</v>
      </c>
      <c r="N83" s="73">
        <v>72.87</v>
      </c>
      <c r="O83" s="73">
        <v>67.930000000000007</v>
      </c>
      <c r="P83" s="73">
        <v>64.930000000000007</v>
      </c>
      <c r="R83" s="21">
        <f t="shared" si="30"/>
        <v>0</v>
      </c>
      <c r="S83" s="21">
        <f t="shared" si="31"/>
        <v>5.2836985890123256E-2</v>
      </c>
      <c r="T83" s="21">
        <f t="shared" si="32"/>
        <v>9.2183120523201295E-2</v>
      </c>
      <c r="U83" s="21">
        <f t="shared" si="33"/>
        <v>0.13458427693303129</v>
      </c>
      <c r="V83" s="21">
        <f t="shared" si="34"/>
        <v>0.2565388749552131</v>
      </c>
      <c r="W83" s="21">
        <f t="shared" si="35"/>
        <v>0.63878504672897229</v>
      </c>
      <c r="X83" s="21">
        <f t="shared" si="36"/>
        <v>1.5248380129589654</v>
      </c>
      <c r="Y83" s="21">
        <f t="shared" si="37"/>
        <v>3.4168765743073051</v>
      </c>
      <c r="Z83" s="21">
        <f t="shared" si="38"/>
        <v>10.689999999999998</v>
      </c>
      <c r="AA83" s="23">
        <f t="shared" si="39"/>
        <v>0.70160324464552148</v>
      </c>
      <c r="AB83" s="23" cm="1">
        <f t="array" ref="AB83">EXP(INDEX(LINEST(LN($H$2:$O$2),LN(S83:Z83)),1,2))</f>
        <v>0.16543413080573779</v>
      </c>
      <c r="AC83" s="145">
        <v>0.71</v>
      </c>
      <c r="AD83" s="145">
        <f t="shared" si="40"/>
        <v>0.16704991413808465</v>
      </c>
      <c r="AE83" s="145">
        <f t="shared" si="41"/>
        <v>59.617538966681302</v>
      </c>
      <c r="AG83" s="143">
        <f t="shared" si="29"/>
        <v>99.970139151182678</v>
      </c>
      <c r="AH83" s="143">
        <f t="shared" si="28"/>
        <v>98.568814441734048</v>
      </c>
      <c r="AI83" s="143">
        <f t="shared" si="28"/>
        <v>97.120596045226463</v>
      </c>
      <c r="AJ83" s="143">
        <f t="shared" si="28"/>
        <v>94.203133766315034</v>
      </c>
      <c r="AK83" s="143">
        <f t="shared" si="28"/>
        <v>89.29359123552095</v>
      </c>
      <c r="AL83" s="143">
        <f t="shared" si="28"/>
        <v>82.408017757493539</v>
      </c>
      <c r="AM83" s="143">
        <f t="shared" si="28"/>
        <v>74.877222760948797</v>
      </c>
      <c r="AN83" s="143">
        <f t="shared" si="28"/>
        <v>68.605201330232745</v>
      </c>
      <c r="AO83" s="143">
        <f t="shared" si="28"/>
        <v>64.355404476596561</v>
      </c>
      <c r="AP83" s="143">
        <f t="shared" si="28"/>
        <v>61.982776577846735</v>
      </c>
      <c r="AQ83" s="140">
        <f t="shared" si="42"/>
        <v>3.117458312541558</v>
      </c>
      <c r="AT83">
        <f t="shared" si="43"/>
        <v>2.986084881732154E-4</v>
      </c>
      <c r="AU83">
        <f t="shared" si="44"/>
        <v>3.3470525420811613E-3</v>
      </c>
      <c r="AV83">
        <f t="shared" si="45"/>
        <v>8.3054457158344118E-4</v>
      </c>
      <c r="AW83">
        <f t="shared" si="46"/>
        <v>1.707915519287322E-2</v>
      </c>
      <c r="AX83">
        <f t="shared" si="47"/>
        <v>3.8199146536827377E-2</v>
      </c>
      <c r="AY83">
        <f t="shared" si="48"/>
        <v>4.5430119801997675E-2</v>
      </c>
      <c r="AZ83">
        <f t="shared" si="49"/>
        <v>5.0022548072204978E-2</v>
      </c>
      <c r="BA83">
        <f t="shared" si="50"/>
        <v>5.8526124190575804E-2</v>
      </c>
      <c r="BB83">
        <f t="shared" si="51"/>
        <v>5.2621750675746287E-2</v>
      </c>
      <c r="BC83">
        <f t="shared" si="52"/>
        <v>4.5390781182092582E-2</v>
      </c>
    </row>
    <row r="84" spans="1:55" x14ac:dyDescent="0.35">
      <c r="A84" s="73" t="s">
        <v>48</v>
      </c>
      <c r="B84" s="73">
        <v>1</v>
      </c>
      <c r="C84" s="72" t="s">
        <v>97</v>
      </c>
      <c r="D84" s="73">
        <v>81</v>
      </c>
      <c r="E84" s="75">
        <v>19.978000000000002</v>
      </c>
      <c r="F84" s="75">
        <v>30.88</v>
      </c>
      <c r="G84" s="76">
        <v>100</v>
      </c>
      <c r="H84" s="73">
        <v>98.24</v>
      </c>
      <c r="I84" s="73">
        <v>97.04</v>
      </c>
      <c r="J84" s="73">
        <v>95.84</v>
      </c>
      <c r="K84" s="73">
        <v>92.84</v>
      </c>
      <c r="L84" s="73">
        <v>86.33</v>
      </c>
      <c r="M84" s="73">
        <v>78.819999999999993</v>
      </c>
      <c r="N84" s="73">
        <v>72.87</v>
      </c>
      <c r="O84" s="73">
        <v>67.930000000000007</v>
      </c>
      <c r="P84" s="73">
        <v>64.930000000000007</v>
      </c>
      <c r="R84" s="21">
        <f t="shared" ref="R84" si="53">(100-G84)/(G84-$P84)</f>
        <v>0</v>
      </c>
      <c r="S84" s="21">
        <f t="shared" ref="S84" si="54">(100-H84)/(H84-$P84)</f>
        <v>5.2836985890123256E-2</v>
      </c>
      <c r="T84" s="21">
        <f t="shared" ref="T84" si="55">(100-I84)/(I84-$P84)</f>
        <v>9.2183120523201295E-2</v>
      </c>
      <c r="U84" s="21">
        <f t="shared" ref="U84" si="56">(100-J84)/(J84-$P84)</f>
        <v>0.13458427693303129</v>
      </c>
      <c r="V84" s="21">
        <f t="shared" ref="V84" si="57">(100-K84)/(K84-$P84)</f>
        <v>0.2565388749552131</v>
      </c>
      <c r="W84" s="21">
        <f t="shared" ref="W84" si="58">(100-L84)/(L84-$P84)</f>
        <v>0.63878504672897229</v>
      </c>
      <c r="X84" s="21">
        <f t="shared" ref="X84" si="59">(100-M84)/(M84-$P84)</f>
        <v>1.5248380129589654</v>
      </c>
      <c r="Y84" s="21">
        <f t="shared" ref="Y84" si="60">(100-N84)/(N84-$P84)</f>
        <v>3.4168765743073051</v>
      </c>
      <c r="Z84" s="21">
        <f t="shared" ref="Z84" si="61">(100-O84)/(O84-$P84)</f>
        <v>10.689999999999998</v>
      </c>
      <c r="AA84" s="23">
        <f t="shared" ref="AA84" si="62">INDEX(LINEST(LN($H$2:$O$2),LN(S84:Z84)),1)</f>
        <v>0.70160324464552148</v>
      </c>
      <c r="AB84" s="23" cm="1">
        <f t="array" ref="AB84">EXP(INDEX(LINEST(LN($H$2:$O$2),LN(S84:Z84)),1,2))</f>
        <v>0.16543413080573779</v>
      </c>
      <c r="AC84" s="145">
        <v>0.71</v>
      </c>
      <c r="AD84" s="145">
        <f t="shared" si="40"/>
        <v>0.16704991413808465</v>
      </c>
      <c r="AE84" s="145">
        <f t="shared" si="41"/>
        <v>59.617538966681302</v>
      </c>
      <c r="AG84" s="143">
        <f t="shared" si="29"/>
        <v>99.970139151182678</v>
      </c>
      <c r="AH84" s="143">
        <f t="shared" si="28"/>
        <v>98.568814441734048</v>
      </c>
      <c r="AI84" s="143">
        <f t="shared" si="28"/>
        <v>97.120596045226463</v>
      </c>
      <c r="AJ84" s="143">
        <f t="shared" si="28"/>
        <v>94.203133766315034</v>
      </c>
      <c r="AK84" s="143">
        <f t="shared" si="28"/>
        <v>89.29359123552095</v>
      </c>
      <c r="AL84" s="143">
        <f t="shared" si="28"/>
        <v>82.408017757493539</v>
      </c>
      <c r="AM84" s="143">
        <f t="shared" si="28"/>
        <v>74.877222760948797</v>
      </c>
      <c r="AN84" s="143">
        <f t="shared" si="28"/>
        <v>68.605201330232745</v>
      </c>
      <c r="AO84" s="143">
        <f t="shared" si="28"/>
        <v>64.355404476596561</v>
      </c>
      <c r="AP84" s="143">
        <f t="shared" si="28"/>
        <v>61.982776577846735</v>
      </c>
      <c r="AQ84" s="140">
        <f t="shared" si="42"/>
        <v>3.117458312541558</v>
      </c>
      <c r="AT84">
        <f t="shared" si="43"/>
        <v>2.986084881732154E-4</v>
      </c>
      <c r="AU84">
        <f t="shared" si="44"/>
        <v>3.3470525420811613E-3</v>
      </c>
      <c r="AV84">
        <f t="shared" si="45"/>
        <v>8.3054457158344118E-4</v>
      </c>
      <c r="AW84">
        <f t="shared" si="46"/>
        <v>1.707915519287322E-2</v>
      </c>
      <c r="AX84">
        <f t="shared" si="47"/>
        <v>3.8199146536827377E-2</v>
      </c>
      <c r="AY84">
        <f t="shared" si="48"/>
        <v>4.5430119801997675E-2</v>
      </c>
      <c r="AZ84">
        <f t="shared" si="49"/>
        <v>5.0022548072204978E-2</v>
      </c>
      <c r="BA84">
        <f t="shared" si="50"/>
        <v>5.8526124190575804E-2</v>
      </c>
      <c r="BB84">
        <f t="shared" si="51"/>
        <v>5.2621750675746287E-2</v>
      </c>
      <c r="BC84">
        <f t="shared" si="52"/>
        <v>4.5390781182092582E-2</v>
      </c>
    </row>
    <row r="85" spans="1:55" x14ac:dyDescent="0.35">
      <c r="A85" s="73"/>
      <c r="B85" s="73"/>
      <c r="C85" s="72"/>
      <c r="D85" s="73"/>
      <c r="E85" s="75"/>
      <c r="F85" s="75"/>
      <c r="G85" s="76"/>
      <c r="H85" s="73"/>
      <c r="I85" s="73"/>
      <c r="J85" s="73"/>
      <c r="K85" s="73"/>
      <c r="L85" s="73"/>
      <c r="M85" s="73"/>
      <c r="N85" s="73"/>
      <c r="O85" s="73"/>
      <c r="P85" s="73"/>
      <c r="R85" s="21"/>
      <c r="S85" s="21"/>
      <c r="T85" s="21"/>
      <c r="U85" s="21"/>
      <c r="V85" s="21"/>
      <c r="W85" s="21"/>
      <c r="X85" s="21"/>
      <c r="Y85" s="21"/>
      <c r="Z85" s="21"/>
      <c r="AA85" s="23"/>
      <c r="AB85" s="23"/>
      <c r="AP85" t="s">
        <v>158</v>
      </c>
      <c r="AQ85" s="140">
        <f>AVERAGE(AQ5:AQ84)</f>
        <v>3.9126668925302694</v>
      </c>
    </row>
    <row r="86" spans="1:55" x14ac:dyDescent="0.35">
      <c r="A86" s="73"/>
      <c r="B86" s="73"/>
      <c r="C86" s="72"/>
      <c r="D86" s="73"/>
      <c r="E86" s="75"/>
      <c r="F86" s="75"/>
      <c r="G86" s="76"/>
      <c r="H86" s="73"/>
      <c r="I86" s="73"/>
      <c r="J86" s="73"/>
      <c r="K86" s="73"/>
      <c r="L86" s="73"/>
      <c r="M86" s="73"/>
      <c r="N86" s="73"/>
      <c r="O86" s="73"/>
      <c r="P86" s="73"/>
      <c r="R86" s="21"/>
      <c r="S86" s="21"/>
      <c r="T86" s="21"/>
      <c r="U86" s="21"/>
      <c r="V86" s="21"/>
      <c r="W86" s="21"/>
      <c r="X86" s="21"/>
      <c r="Y86" s="21"/>
      <c r="Z86" s="21"/>
      <c r="AA86" s="23"/>
      <c r="AB86" s="23"/>
    </row>
    <row r="95" spans="1:55" ht="18" x14ac:dyDescent="0.45">
      <c r="A95" s="60" t="s">
        <v>58</v>
      </c>
      <c r="B95" s="60" t="s">
        <v>59</v>
      </c>
      <c r="C95" s="61" t="s">
        <v>79</v>
      </c>
      <c r="D95" s="61" t="s">
        <v>80</v>
      </c>
    </row>
    <row r="96" spans="1:55" x14ac:dyDescent="0.35">
      <c r="A96" s="62">
        <v>0.72599999999999998</v>
      </c>
      <c r="B96" s="63">
        <v>1.006</v>
      </c>
      <c r="C96" s="64">
        <v>30</v>
      </c>
      <c r="D96" s="65">
        <v>72</v>
      </c>
    </row>
    <row r="98" spans="1:15" x14ac:dyDescent="0.35">
      <c r="E98" s="66" t="s">
        <v>78</v>
      </c>
      <c r="F98" s="17">
        <v>1E-3</v>
      </c>
      <c r="G98" s="18">
        <v>1.6E-2</v>
      </c>
      <c r="H98" s="18">
        <v>2.7000000000000003E-2</v>
      </c>
      <c r="I98" s="18">
        <v>4.7E-2</v>
      </c>
      <c r="J98" s="18">
        <v>8.1000000000000003E-2</v>
      </c>
      <c r="K98" s="18">
        <v>0.13899999999999998</v>
      </c>
      <c r="L98" s="18">
        <v>0.23799999999999999</v>
      </c>
      <c r="M98" s="18">
        <v>0.40599999999999997</v>
      </c>
      <c r="N98" s="18">
        <v>0.7</v>
      </c>
      <c r="O98" s="18">
        <v>1.2</v>
      </c>
    </row>
    <row r="99" spans="1:15" x14ac:dyDescent="0.35">
      <c r="E99" s="67" t="s">
        <v>98</v>
      </c>
      <c r="F99" s="59">
        <f t="shared" ref="F99:N99" si="63">F98 * ($C$96 *0.86) / ($D$96*1)</f>
        <v>3.5833333333333333E-4</v>
      </c>
      <c r="G99" s="59">
        <f t="shared" si="63"/>
        <v>5.7333333333333333E-3</v>
      </c>
      <c r="H99" s="59">
        <f>H98 * ($C$96 *0.86) / ($D$96*1)</f>
        <v>9.6750000000000013E-3</v>
      </c>
      <c r="I99" s="59">
        <f t="shared" si="63"/>
        <v>1.6841666666666668E-2</v>
      </c>
      <c r="J99" s="59">
        <f t="shared" si="63"/>
        <v>2.9025000000000006E-2</v>
      </c>
      <c r="K99" s="59">
        <f t="shared" si="63"/>
        <v>4.9808333333333329E-2</v>
      </c>
      <c r="L99" s="59">
        <f t="shared" si="63"/>
        <v>8.5283333333333322E-2</v>
      </c>
      <c r="M99" s="59">
        <f t="shared" si="63"/>
        <v>0.14548333333333333</v>
      </c>
      <c r="N99" s="59">
        <f t="shared" si="63"/>
        <v>0.2508333333333333</v>
      </c>
      <c r="O99" s="59">
        <f>O98 * ($C$96 *0.86) / ($D$96*1)</f>
        <v>0.43</v>
      </c>
    </row>
    <row r="100" spans="1:15" x14ac:dyDescent="0.35">
      <c r="E100" s="67" t="s">
        <v>99</v>
      </c>
      <c r="F100" s="59">
        <f>1000/9.8*(F99/($B$96-$A$96))</f>
        <v>0.13058794946550045</v>
      </c>
      <c r="G100" s="59">
        <f t="shared" ref="G100" si="64">1000/9.8*(G99/($B$96-$A$96))</f>
        <v>2.0894071914480072</v>
      </c>
      <c r="H100" s="59">
        <f>1000/9.8*(H99/($B$96-$A$96))</f>
        <v>3.5258746355685124</v>
      </c>
      <c r="I100" s="59">
        <f t="shared" ref="I100" si="65">1000/9.8*(I99/($B$96-$A$96))</f>
        <v>6.1376336248785224</v>
      </c>
      <c r="J100" s="59">
        <f t="shared" ref="J100" si="66">1000/9.8*(J99/($B$96-$A$96))</f>
        <v>10.57762390670554</v>
      </c>
      <c r="K100" s="59">
        <f t="shared" ref="K100" si="67">1000/9.8*(K99/($B$96-$A$96))</f>
        <v>18.15172497570456</v>
      </c>
      <c r="L100" s="59">
        <f t="shared" ref="L100" si="68">1000/9.8*(L99/($B$96-$A$96))</f>
        <v>31.079931972789105</v>
      </c>
      <c r="M100" s="59">
        <f t="shared" ref="M100" si="69">1000/9.8*(M99/($B$96-$A$96))</f>
        <v>53.018707482993186</v>
      </c>
      <c r="N100" s="59">
        <f t="shared" ref="N100" si="70">1000/9.8*(N99/($B$96-$A$96))</f>
        <v>91.411564625850318</v>
      </c>
      <c r="O100" s="59">
        <f t="shared" ref="O100" si="71">1000/9.8*(O99/($B$96-$A$96))</f>
        <v>156.70553935860056</v>
      </c>
    </row>
    <row r="101" spans="1:15" x14ac:dyDescent="0.35">
      <c r="A101" s="68" t="s">
        <v>81</v>
      </c>
      <c r="C101" s="68" t="s">
        <v>82</v>
      </c>
      <c r="D101" s="68" t="s">
        <v>83</v>
      </c>
      <c r="E101" s="68" t="s">
        <v>84</v>
      </c>
      <c r="F101" s="186" t="s">
        <v>47</v>
      </c>
      <c r="G101" s="186"/>
      <c r="H101" s="186"/>
      <c r="I101" s="186"/>
      <c r="J101" s="186"/>
      <c r="K101" s="186"/>
      <c r="L101" s="186"/>
      <c r="M101" s="186"/>
      <c r="N101" s="186"/>
      <c r="O101" s="186"/>
    </row>
    <row r="102" spans="1:15" x14ac:dyDescent="0.35">
      <c r="A102">
        <v>3</v>
      </c>
      <c r="C102" s="58">
        <f xml:space="preserve"> -9.228* LN(A102) + 87.252</f>
        <v>77.114005800170673</v>
      </c>
      <c r="D102" s="58">
        <f>0.4265 *A102^(-0.313)</f>
        <v>0.30239881346735481</v>
      </c>
      <c r="E102" s="58">
        <v>0.71</v>
      </c>
      <c r="F102" s="57">
        <f>($C102*F$98^(1/$E102)+100*$D102^(1/$E102))/(F$98^(1/$E102)+$D102^(1/$E102))</f>
        <v>99.992660681707235</v>
      </c>
      <c r="G102" s="57">
        <f t="shared" ref="F102:O107" si="72">($C102*G$98^(1/$E102)+100*$D102^(1/$E102))/(G$98^(1/$E102)+$D102^(1/$E102))</f>
        <v>99.641180855049654</v>
      </c>
      <c r="H102" s="57">
        <f>($C102*H$98^(1/$E102)+100*$D102^(1/$E102))/(H$98^(1/$E102)+$D102^(1/$E102))</f>
        <v>99.262807723633131</v>
      </c>
      <c r="I102" s="57">
        <f t="shared" si="72"/>
        <v>98.449754336478264</v>
      </c>
      <c r="J102" s="57">
        <f t="shared" si="72"/>
        <v>96.904758027049283</v>
      </c>
      <c r="K102" s="57">
        <f t="shared" si="72"/>
        <v>94.261913633631508</v>
      </c>
      <c r="L102" s="57">
        <f t="shared" si="72"/>
        <v>90.468718788413696</v>
      </c>
      <c r="M102" s="57">
        <f t="shared" si="72"/>
        <v>86.216418394380796</v>
      </c>
      <c r="N102" s="57">
        <f t="shared" si="72"/>
        <v>82.48452568401423</v>
      </c>
      <c r="O102" s="57">
        <f t="shared" si="72"/>
        <v>79.986289788101317</v>
      </c>
    </row>
    <row r="103" spans="1:15" x14ac:dyDescent="0.35">
      <c r="A103">
        <v>10</v>
      </c>
      <c r="C103" s="58">
        <f xml:space="preserve"> -9.228* LN(A103) + 87.252</f>
        <v>66.003744761850939</v>
      </c>
      <c r="D103" s="58">
        <f t="shared" ref="D103:D107" si="73">0.4265 *A103^(-0.313)</f>
        <v>0.20745267322740835</v>
      </c>
      <c r="E103" s="58">
        <v>0.71</v>
      </c>
      <c r="F103" s="57">
        <f t="shared" si="72"/>
        <v>99.981467755376272</v>
      </c>
      <c r="G103" s="57">
        <f t="shared" si="72"/>
        <v>99.103596710477404</v>
      </c>
      <c r="H103" s="57">
        <f t="shared" si="72"/>
        <v>98.179194008253091</v>
      </c>
      <c r="I103" s="57">
        <f t="shared" si="72"/>
        <v>96.261956002259552</v>
      </c>
      <c r="J103" s="57">
        <f t="shared" si="72"/>
        <v>92.858856173443016</v>
      </c>
      <c r="K103" s="57">
        <f t="shared" si="72"/>
        <v>87.672076453098597</v>
      </c>
      <c r="L103" s="57">
        <f t="shared" si="72"/>
        <v>81.362623993486537</v>
      </c>
      <c r="M103" s="57">
        <f t="shared" si="72"/>
        <v>75.514182811108611</v>
      </c>
      <c r="N103" s="57">
        <f t="shared" si="72"/>
        <v>71.197850732823781</v>
      </c>
      <c r="O103" s="57">
        <f t="shared" si="72"/>
        <v>68.649983520984549</v>
      </c>
    </row>
    <row r="104" spans="1:15" x14ac:dyDescent="0.35">
      <c r="A104">
        <v>20</v>
      </c>
      <c r="C104" s="58">
        <f t="shared" ref="C103:C107" si="74" xml:space="preserve"> -9.228* LN(A104) + 87.252</f>
        <v>59.607382579643769</v>
      </c>
      <c r="D104" s="58">
        <f t="shared" si="73"/>
        <v>0.16699237710704362</v>
      </c>
      <c r="E104" s="58">
        <v>0.71</v>
      </c>
      <c r="F104" s="57">
        <f t="shared" si="72"/>
        <v>99.970117156217583</v>
      </c>
      <c r="G104" s="57">
        <f t="shared" si="72"/>
        <v>98.567784376145994</v>
      </c>
      <c r="H104" s="57">
        <f t="shared" si="72"/>
        <v>97.118573804260109</v>
      </c>
      <c r="I104" s="57">
        <f t="shared" si="72"/>
        <v>94.199265933284735</v>
      </c>
      <c r="J104" s="57">
        <f t="shared" si="72"/>
        <v>89.287079663191051</v>
      </c>
      <c r="K104" s="57">
        <f t="shared" si="72"/>
        <v>82.398774743343679</v>
      </c>
      <c r="L104" s="57">
        <f t="shared" si="72"/>
        <v>74.866297224178027</v>
      </c>
      <c r="M104" s="57">
        <f t="shared" si="72"/>
        <v>68.593914757006416</v>
      </c>
      <c r="N104" s="57">
        <f t="shared" si="72"/>
        <v>64.344410462592137</v>
      </c>
      <c r="O104" s="57">
        <f t="shared" si="72"/>
        <v>61.972134630671995</v>
      </c>
    </row>
    <row r="105" spans="1:15" x14ac:dyDescent="0.35">
      <c r="A105">
        <v>50</v>
      </c>
      <c r="C105" s="58">
        <f t="shared" si="74"/>
        <v>51.151851705909067</v>
      </c>
      <c r="D105" s="58">
        <f t="shared" si="73"/>
        <v>0.12535493157013003</v>
      </c>
      <c r="E105" s="58">
        <v>0.71</v>
      </c>
      <c r="F105" s="57">
        <f>($C105*F$98^(1/$E105)+100*$D105^(1/$E105))/(F$98^(1/$E105)+$D105^(1/$E105))</f>
        <v>99.945894920428117</v>
      </c>
      <c r="G105" s="57">
        <f t="shared" si="72"/>
        <v>97.450899654621892</v>
      </c>
      <c r="H105" s="57">
        <f t="shared" si="72"/>
        <v>94.959990681375928</v>
      </c>
      <c r="I105" s="57">
        <f t="shared" si="72"/>
        <v>90.194352679339701</v>
      </c>
      <c r="J105" s="57">
        <f t="shared" si="72"/>
        <v>82.859017130314285</v>
      </c>
      <c r="K105" s="57">
        <f t="shared" si="72"/>
        <v>73.801864337487544</v>
      </c>
      <c r="L105" s="57">
        <f t="shared" si="72"/>
        <v>65.241457326368334</v>
      </c>
      <c r="M105" s="57">
        <f t="shared" si="72"/>
        <v>58.987344680295408</v>
      </c>
      <c r="N105" s="57">
        <f t="shared" si="72"/>
        <v>55.131881191852138</v>
      </c>
      <c r="O105" s="57">
        <f t="shared" si="72"/>
        <v>53.099158619771764</v>
      </c>
    </row>
    <row r="106" spans="1:15" x14ac:dyDescent="0.35">
      <c r="A106">
        <v>200</v>
      </c>
      <c r="C106" s="58">
        <f t="shared" si="74"/>
        <v>38.35912734149472</v>
      </c>
      <c r="D106" s="58">
        <f t="shared" si="73"/>
        <v>8.1226295520411884E-2</v>
      </c>
      <c r="E106" s="58">
        <v>0.71</v>
      </c>
      <c r="F106" s="57">
        <f>($C106*F$98^(1/$E106)+100*$D106^(1/$E106))/(F$98^(1/$E106)+$D106^(1/$E106))</f>
        <v>99.874319240645619</v>
      </c>
      <c r="G106" s="57">
        <f t="shared" si="72"/>
        <v>94.322775504089989</v>
      </c>
      <c r="H106" s="57">
        <f t="shared" si="72"/>
        <v>89.218837431482868</v>
      </c>
      <c r="I106" s="57">
        <f t="shared" si="72"/>
        <v>80.499302211399282</v>
      </c>
      <c r="J106" s="57">
        <f t="shared" si="72"/>
        <v>69.240116558998253</v>
      </c>
      <c r="K106" s="57">
        <f t="shared" si="72"/>
        <v>58.045368268484246</v>
      </c>
      <c r="L106" s="57">
        <f t="shared" si="72"/>
        <v>49.474682321735635</v>
      </c>
      <c r="M106" s="57">
        <f t="shared" si="72"/>
        <v>44.150150060217285</v>
      </c>
      <c r="N106" s="57">
        <f t="shared" si="72"/>
        <v>41.190398629068866</v>
      </c>
      <c r="O106" s="57">
        <f t="shared" si="72"/>
        <v>39.717533390904563</v>
      </c>
    </row>
    <row r="107" spans="1:15" x14ac:dyDescent="0.35">
      <c r="A107">
        <v>500</v>
      </c>
      <c r="C107" s="58">
        <f t="shared" si="74"/>
        <v>29.903596467760018</v>
      </c>
      <c r="D107" s="58">
        <f t="shared" si="73"/>
        <v>6.0973541984671337E-2</v>
      </c>
      <c r="E107" s="58">
        <v>0.71</v>
      </c>
      <c r="F107" s="57">
        <f>($C107*F$98^(1/$E107)+100*$D107^(1/$E107))/(F$98^(1/$E107)+$D107^(1/$E107))</f>
        <v>99.786161872078182</v>
      </c>
      <c r="G107" s="57">
        <f>($C107*G$98^(1/$E107)+100*$D107^(1/$E107))/(G$98^(1/$E107)+$D107^(1/$E107))</f>
        <v>90.75456339260397</v>
      </c>
      <c r="H107" s="57">
        <f t="shared" si="72"/>
        <v>83.108350968145359</v>
      </c>
      <c r="I107" s="57">
        <f t="shared" si="72"/>
        <v>71.305290941843012</v>
      </c>
      <c r="J107" s="57">
        <f t="shared" si="72"/>
        <v>58.033931797696098</v>
      </c>
      <c r="K107" s="57">
        <f t="shared" si="72"/>
        <v>46.625532173872692</v>
      </c>
      <c r="L107" s="57">
        <f t="shared" si="72"/>
        <v>38.881319026789264</v>
      </c>
      <c r="M107" s="57">
        <f t="shared" si="72"/>
        <v>34.44225367077118</v>
      </c>
      <c r="N107" s="57">
        <f t="shared" si="72"/>
        <v>32.086621393720819</v>
      </c>
      <c r="O107" s="57">
        <f t="shared" si="72"/>
        <v>30.942604479940027</v>
      </c>
    </row>
    <row r="153" spans="8:14" x14ac:dyDescent="0.35">
      <c r="H153" t="s">
        <v>81</v>
      </c>
      <c r="I153" s="169">
        <v>500</v>
      </c>
      <c r="J153" s="169">
        <v>200</v>
      </c>
      <c r="K153" s="169">
        <v>50</v>
      </c>
      <c r="L153" s="169">
        <v>20</v>
      </c>
      <c r="M153" s="169">
        <v>10</v>
      </c>
      <c r="N153" s="169">
        <v>3</v>
      </c>
    </row>
    <row r="154" spans="8:14" x14ac:dyDescent="0.35">
      <c r="I154" s="163"/>
      <c r="J154" s="164"/>
      <c r="K154" s="165"/>
      <c r="L154" s="166"/>
      <c r="M154" s="167"/>
      <c r="N154" s="168"/>
    </row>
  </sheetData>
  <mergeCells count="17">
    <mergeCell ref="A1:A3"/>
    <mergeCell ref="B1:B3"/>
    <mergeCell ref="C1:C3"/>
    <mergeCell ref="D1:D3"/>
    <mergeCell ref="E1:E3"/>
    <mergeCell ref="F101:O101"/>
    <mergeCell ref="G1:P1"/>
    <mergeCell ref="G3:P3"/>
    <mergeCell ref="F1:F3"/>
    <mergeCell ref="R4:Z4"/>
    <mergeCell ref="AG2:AP2"/>
    <mergeCell ref="AG4:AP4"/>
    <mergeCell ref="AG1:AP1"/>
    <mergeCell ref="AQ1:AQ3"/>
    <mergeCell ref="Q1:Q3"/>
    <mergeCell ref="AA1:AB3"/>
    <mergeCell ref="AC1:AE3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/>
  <dimension ref="A1:AE218"/>
  <sheetViews>
    <sheetView topLeftCell="M1" zoomScale="93" zoomScaleNormal="55" workbookViewId="0">
      <pane ySplit="1" topLeftCell="A22" activePane="bottomLeft" state="frozen"/>
      <selection pane="bottomLeft" activeCell="AD39" sqref="AD39"/>
    </sheetView>
  </sheetViews>
  <sheetFormatPr defaultRowHeight="14.5" x14ac:dyDescent="0.35"/>
  <cols>
    <col min="1" max="1" width="9.90625" style="21" customWidth="1"/>
    <col min="2" max="2" width="7.36328125" style="21" customWidth="1"/>
    <col min="3" max="3" width="8.6328125" style="21"/>
    <col min="4" max="4" width="15" style="85" bestFit="1" customWidth="1"/>
    <col min="5" max="5" width="10.6328125" style="21" bestFit="1" customWidth="1"/>
    <col min="6" max="6" width="14.6328125" style="49" bestFit="1" customWidth="1"/>
    <col min="7" max="10" width="8.81640625" style="21" bestFit="1" customWidth="1"/>
    <col min="11" max="11" width="10.08984375" style="21" customWidth="1"/>
    <col min="12" max="14" width="9" bestFit="1" customWidth="1"/>
    <col min="16" max="16" width="9" bestFit="1" customWidth="1"/>
    <col min="21" max="23" width="9" bestFit="1" customWidth="1"/>
    <col min="24" max="24" width="10.54296875" bestFit="1" customWidth="1"/>
    <col min="25" max="28" width="9" bestFit="1" customWidth="1"/>
    <col min="29" max="30" width="13" customWidth="1"/>
    <col min="31" max="31" width="9" bestFit="1" customWidth="1"/>
    <col min="33" max="33" width="14.453125" customWidth="1"/>
  </cols>
  <sheetData>
    <row r="1" spans="1:14" ht="73" thickBot="1" x14ac:dyDescent="0.4">
      <c r="A1" s="132" t="s">
        <v>0</v>
      </c>
      <c r="B1" s="135" t="s">
        <v>43</v>
      </c>
      <c r="C1" s="135" t="s">
        <v>49</v>
      </c>
      <c r="D1" s="134" t="s">
        <v>132</v>
      </c>
      <c r="E1" s="133" t="s">
        <v>12</v>
      </c>
      <c r="F1" s="133" t="s">
        <v>11</v>
      </c>
      <c r="G1" s="129" t="s">
        <v>127</v>
      </c>
      <c r="H1" s="130" t="s">
        <v>128</v>
      </c>
      <c r="I1" s="130" t="s">
        <v>129</v>
      </c>
      <c r="J1" s="131" t="s">
        <v>130</v>
      </c>
      <c r="K1" s="132" t="s">
        <v>131</v>
      </c>
      <c r="L1" s="88" t="s">
        <v>61</v>
      </c>
      <c r="M1" s="47" t="s">
        <v>62</v>
      </c>
      <c r="N1" s="47" t="s">
        <v>63</v>
      </c>
    </row>
    <row r="2" spans="1:14" ht="39.65" customHeight="1" x14ac:dyDescent="0.35">
      <c r="A2" s="29" t="s">
        <v>48</v>
      </c>
      <c r="B2" s="30">
        <v>2</v>
      </c>
      <c r="C2" s="102" t="s">
        <v>92</v>
      </c>
      <c r="D2" s="40" t="s">
        <v>100</v>
      </c>
      <c r="E2" s="31">
        <v>32.156666666666673</v>
      </c>
      <c r="F2" s="82">
        <v>248.75167198331815</v>
      </c>
      <c r="G2" s="102">
        <v>1</v>
      </c>
      <c r="H2" s="103">
        <v>27.68</v>
      </c>
      <c r="I2" s="104">
        <v>72.319999999999993</v>
      </c>
      <c r="J2" s="105">
        <v>1</v>
      </c>
      <c r="K2" s="105">
        <v>0</v>
      </c>
      <c r="L2" s="171">
        <f>H4</f>
        <v>41.145000000000003</v>
      </c>
      <c r="M2" s="170">
        <f>H6</f>
        <v>46.094000000000001</v>
      </c>
      <c r="N2" s="56">
        <f>H9</f>
        <v>63.725000000000001</v>
      </c>
    </row>
    <row r="3" spans="1:14" ht="33.9" customHeight="1" x14ac:dyDescent="0.35">
      <c r="A3" s="32"/>
      <c r="D3" s="37"/>
      <c r="E3" s="28"/>
      <c r="F3" s="80"/>
      <c r="G3" s="54">
        <v>2</v>
      </c>
      <c r="H3" s="89">
        <v>36.182000000000002</v>
      </c>
      <c r="I3" s="90">
        <v>63.817999999999998</v>
      </c>
      <c r="J3" s="91">
        <v>0.24079999999999999</v>
      </c>
      <c r="K3" s="91">
        <v>0</v>
      </c>
      <c r="L3" s="171"/>
      <c r="M3" s="170"/>
      <c r="N3" s="56"/>
    </row>
    <row r="4" spans="1:14" ht="29.4" customHeight="1" x14ac:dyDescent="0.35">
      <c r="A4" s="32"/>
      <c r="D4" s="37"/>
      <c r="E4" s="28"/>
      <c r="F4" s="80"/>
      <c r="G4" s="54">
        <v>3</v>
      </c>
      <c r="H4" s="89">
        <v>41.145000000000003</v>
      </c>
      <c r="I4" s="90">
        <v>58.854999999999997</v>
      </c>
      <c r="J4" s="91">
        <v>9.0200000000000002E-2</v>
      </c>
      <c r="K4" s="91">
        <v>5.1999999999999998E-3</v>
      </c>
      <c r="L4" s="171"/>
      <c r="M4" s="170"/>
      <c r="N4" s="56"/>
    </row>
    <row r="5" spans="1:14" ht="15.5" x14ac:dyDescent="0.35">
      <c r="A5" s="32"/>
      <c r="E5" s="28"/>
      <c r="F5" s="81"/>
      <c r="G5" s="54">
        <v>4</v>
      </c>
      <c r="H5" s="89">
        <v>43.838000000000001</v>
      </c>
      <c r="I5" s="90">
        <v>56.161999999999999</v>
      </c>
      <c r="J5" s="91">
        <v>5.5199999999999999E-2</v>
      </c>
      <c r="K5" s="91">
        <v>8.6E-3</v>
      </c>
      <c r="L5" s="171"/>
      <c r="M5" s="170"/>
      <c r="N5" s="56"/>
    </row>
    <row r="6" spans="1:14" x14ac:dyDescent="0.35">
      <c r="A6" s="32"/>
      <c r="F6" s="124"/>
      <c r="G6" s="54">
        <v>5</v>
      </c>
      <c r="H6" s="89">
        <v>46.094000000000001</v>
      </c>
      <c r="I6" s="90">
        <v>53.905999999999999</v>
      </c>
      <c r="J6" s="91">
        <v>3.6600000000000001E-2</v>
      </c>
      <c r="K6" s="91">
        <v>1.2800000000000001E-2</v>
      </c>
      <c r="L6" s="171"/>
      <c r="M6" s="170"/>
      <c r="N6" s="56"/>
    </row>
    <row r="7" spans="1:14" x14ac:dyDescent="0.35">
      <c r="A7" s="32"/>
      <c r="F7" s="124"/>
      <c r="G7" s="54">
        <v>6</v>
      </c>
      <c r="H7" s="89">
        <v>48.744999999999997</v>
      </c>
      <c r="I7" s="90">
        <v>51.255000000000003</v>
      </c>
      <c r="J7" s="91">
        <v>2.1600000000000001E-2</v>
      </c>
      <c r="K7" s="92">
        <v>2.01E-2</v>
      </c>
      <c r="L7" s="171"/>
      <c r="M7" s="170"/>
      <c r="N7" s="56"/>
    </row>
    <row r="8" spans="1:14" x14ac:dyDescent="0.35">
      <c r="A8" s="32"/>
      <c r="F8" s="124"/>
      <c r="G8" s="54">
        <v>7</v>
      </c>
      <c r="H8" s="89">
        <v>61.194000000000003</v>
      </c>
      <c r="I8" s="90">
        <v>38.805999999999997</v>
      </c>
      <c r="J8" s="91">
        <v>5.3E-3</v>
      </c>
      <c r="K8" s="91">
        <v>0.17430000000000001</v>
      </c>
      <c r="L8" s="171"/>
      <c r="M8" s="170"/>
      <c r="N8" s="56"/>
    </row>
    <row r="9" spans="1:14" ht="15" thickBot="1" x14ac:dyDescent="0.4">
      <c r="A9" s="33"/>
      <c r="B9" s="34"/>
      <c r="C9" s="34"/>
      <c r="D9" s="86"/>
      <c r="E9" s="34"/>
      <c r="F9" s="125"/>
      <c r="G9" s="106">
        <v>8</v>
      </c>
      <c r="H9" s="107">
        <v>63.725000000000001</v>
      </c>
      <c r="I9" s="107">
        <v>36.274999999999999</v>
      </c>
      <c r="J9" s="108">
        <v>0</v>
      </c>
      <c r="K9" s="108">
        <v>0.2384</v>
      </c>
      <c r="L9" s="171"/>
      <c r="M9" s="170"/>
      <c r="N9" s="56"/>
    </row>
    <row r="10" spans="1:14" ht="15.65" customHeight="1" x14ac:dyDescent="0.35">
      <c r="A10" s="29" t="s">
        <v>48</v>
      </c>
      <c r="B10" s="30">
        <v>1</v>
      </c>
      <c r="C10" s="102" t="s">
        <v>90</v>
      </c>
      <c r="D10" s="38" t="s">
        <v>101</v>
      </c>
      <c r="E10" s="31">
        <v>37.18333333333333</v>
      </c>
      <c r="F10" s="82">
        <v>74.289985671873552</v>
      </c>
      <c r="G10" s="102">
        <v>1</v>
      </c>
      <c r="H10" s="103">
        <v>42.01</v>
      </c>
      <c r="I10" s="104">
        <v>57.99</v>
      </c>
      <c r="J10" s="105">
        <v>1</v>
      </c>
      <c r="K10" s="105">
        <v>0</v>
      </c>
      <c r="L10" s="171">
        <f t="shared" ref="L10:L66" si="0">H12</f>
        <v>52.652999999999999</v>
      </c>
      <c r="M10" s="170">
        <f t="shared" ref="M10:M66" si="1">H14</f>
        <v>56.457000000000001</v>
      </c>
      <c r="N10" s="56">
        <f t="shared" ref="N10:N66" si="2">H17</f>
        <v>67.988</v>
      </c>
    </row>
    <row r="11" spans="1:14" ht="15.9" customHeight="1" x14ac:dyDescent="0.35">
      <c r="A11" s="32"/>
      <c r="D11" s="39"/>
      <c r="E11" s="28"/>
      <c r="F11" s="80"/>
      <c r="G11" s="54">
        <v>2</v>
      </c>
      <c r="H11" s="89">
        <v>49.691000000000003</v>
      </c>
      <c r="I11" s="90">
        <v>50.308999999999997</v>
      </c>
      <c r="J11" s="91">
        <v>0.18709999999999999</v>
      </c>
      <c r="K11" s="91">
        <v>0</v>
      </c>
      <c r="L11" s="171"/>
      <c r="M11" s="170"/>
      <c r="N11" s="56"/>
    </row>
    <row r="12" spans="1:14" ht="15.65" customHeight="1" x14ac:dyDescent="0.35">
      <c r="A12" s="32"/>
      <c r="D12" s="39"/>
      <c r="E12" s="28"/>
      <c r="F12" s="80"/>
      <c r="G12" s="54">
        <v>3</v>
      </c>
      <c r="H12" s="89">
        <v>52.652999999999999</v>
      </c>
      <c r="I12" s="90">
        <v>47.347000000000001</v>
      </c>
      <c r="J12" s="91">
        <v>9.4600000000000004E-2</v>
      </c>
      <c r="K12" s="91">
        <v>4.5999999999999999E-3</v>
      </c>
      <c r="L12" s="171"/>
      <c r="M12" s="170"/>
      <c r="N12" s="56"/>
    </row>
    <row r="13" spans="1:14" ht="15.5" x14ac:dyDescent="0.35">
      <c r="A13" s="32"/>
      <c r="E13" s="28"/>
      <c r="F13" s="81"/>
      <c r="G13" s="54">
        <v>4</v>
      </c>
      <c r="H13" s="89">
        <v>54.685000000000002</v>
      </c>
      <c r="I13" s="90">
        <v>45.314999999999998</v>
      </c>
      <c r="J13" s="91">
        <v>5.6000000000000001E-2</v>
      </c>
      <c r="K13" s="91">
        <v>7.3000000000000001E-3</v>
      </c>
      <c r="L13" s="171"/>
      <c r="M13" s="170"/>
      <c r="N13" s="56"/>
    </row>
    <row r="14" spans="1:14" x14ac:dyDescent="0.35">
      <c r="A14" s="32"/>
      <c r="F14" s="124"/>
      <c r="G14" s="54">
        <v>5</v>
      </c>
      <c r="H14" s="89">
        <v>56.457000000000001</v>
      </c>
      <c r="I14" s="90">
        <v>43.542999999999999</v>
      </c>
      <c r="J14" s="91">
        <v>3.6799999999999999E-2</v>
      </c>
      <c r="K14" s="91">
        <v>1.0699999999999999E-2</v>
      </c>
      <c r="L14" s="171"/>
      <c r="M14" s="170"/>
      <c r="N14" s="56"/>
    </row>
    <row r="15" spans="1:14" x14ac:dyDescent="0.35">
      <c r="A15" s="32"/>
      <c r="F15" s="124"/>
      <c r="G15" s="54">
        <v>6</v>
      </c>
      <c r="H15" s="89">
        <v>58.470999999999997</v>
      </c>
      <c r="I15" s="90">
        <v>41.529000000000003</v>
      </c>
      <c r="J15" s="91">
        <v>2.24E-2</v>
      </c>
      <c r="K15" s="92">
        <v>1.7399999999999999E-2</v>
      </c>
      <c r="L15" s="171"/>
      <c r="M15" s="170"/>
      <c r="N15" s="56"/>
    </row>
    <row r="16" spans="1:14" x14ac:dyDescent="0.35">
      <c r="A16" s="32"/>
      <c r="F16" s="124"/>
      <c r="G16" s="54">
        <v>7</v>
      </c>
      <c r="H16" s="89">
        <v>66.275999999999996</v>
      </c>
      <c r="I16" s="90">
        <v>33.723999999999997</v>
      </c>
      <c r="J16" s="91">
        <v>4.4999999999999997E-3</v>
      </c>
      <c r="K16" s="91">
        <v>9.3899999999999997E-2</v>
      </c>
      <c r="L16" s="171"/>
      <c r="M16" s="170"/>
      <c r="N16" s="56"/>
    </row>
    <row r="17" spans="1:14" ht="15" thickBot="1" x14ac:dyDescent="0.4">
      <c r="A17" s="33"/>
      <c r="B17" s="34"/>
      <c r="C17" s="34"/>
      <c r="D17" s="86"/>
      <c r="E17" s="34"/>
      <c r="F17" s="125"/>
      <c r="G17" s="106">
        <v>8</v>
      </c>
      <c r="H17" s="107">
        <v>67.988</v>
      </c>
      <c r="I17" s="107">
        <v>32.012</v>
      </c>
      <c r="J17" s="108">
        <v>0</v>
      </c>
      <c r="K17" s="108">
        <v>0.12239999999999999</v>
      </c>
      <c r="L17" s="171"/>
      <c r="M17" s="170"/>
      <c r="N17" s="56"/>
    </row>
    <row r="18" spans="1:14" ht="15.65" customHeight="1" x14ac:dyDescent="0.35">
      <c r="A18" s="29" t="s">
        <v>48</v>
      </c>
      <c r="B18" s="30">
        <v>1</v>
      </c>
      <c r="C18" s="102" t="s">
        <v>90</v>
      </c>
      <c r="D18" s="38" t="s">
        <v>102</v>
      </c>
      <c r="E18" s="31">
        <v>37.973333333333329</v>
      </c>
      <c r="F18" s="82">
        <v>97.290675619614504</v>
      </c>
      <c r="G18" s="102">
        <v>1</v>
      </c>
      <c r="H18" s="103">
        <v>41.6</v>
      </c>
      <c r="I18" s="104">
        <v>58.4</v>
      </c>
      <c r="J18" s="105">
        <v>1</v>
      </c>
      <c r="K18" s="105">
        <v>0</v>
      </c>
      <c r="L18" s="171">
        <f t="shared" si="0"/>
        <v>54.545000000000002</v>
      </c>
      <c r="M18" s="170">
        <f t="shared" si="1"/>
        <v>58.628999999999998</v>
      </c>
      <c r="N18" s="56">
        <f t="shared" si="2"/>
        <v>68.138000000000005</v>
      </c>
    </row>
    <row r="19" spans="1:14" ht="15.9" customHeight="1" x14ac:dyDescent="0.35">
      <c r="A19" s="32"/>
      <c r="D19" s="39"/>
      <c r="E19" s="28"/>
      <c r="F19" s="80"/>
      <c r="G19" s="54">
        <v>2</v>
      </c>
      <c r="H19" s="89">
        <v>49.884999999999998</v>
      </c>
      <c r="I19" s="90">
        <v>50.115000000000002</v>
      </c>
      <c r="J19" s="91">
        <v>0.22509999999999999</v>
      </c>
      <c r="K19" s="91">
        <v>0</v>
      </c>
      <c r="L19" s="171"/>
      <c r="M19" s="170"/>
      <c r="N19" s="56"/>
    </row>
    <row r="20" spans="1:14" ht="15.65" customHeight="1" x14ac:dyDescent="0.35">
      <c r="A20" s="32"/>
      <c r="D20" s="39"/>
      <c r="E20" s="28"/>
      <c r="F20" s="80"/>
      <c r="G20" s="54">
        <v>3</v>
      </c>
      <c r="H20" s="89">
        <v>54.545000000000002</v>
      </c>
      <c r="I20" s="90">
        <v>45.454999999999998</v>
      </c>
      <c r="J20" s="91">
        <v>0.1014</v>
      </c>
      <c r="K20" s="91">
        <v>4.8999999999999998E-3</v>
      </c>
      <c r="L20" s="171"/>
      <c r="M20" s="170"/>
      <c r="N20" s="56"/>
    </row>
    <row r="21" spans="1:14" ht="15.5" x14ac:dyDescent="0.35">
      <c r="A21" s="32"/>
      <c r="E21" s="28"/>
      <c r="F21" s="81"/>
      <c r="G21" s="54">
        <v>4</v>
      </c>
      <c r="H21" s="89">
        <v>56.698</v>
      </c>
      <c r="I21" s="90">
        <v>43.302</v>
      </c>
      <c r="J21" s="91">
        <v>6.7799999999999999E-2</v>
      </c>
      <c r="K21" s="91">
        <v>8.8000000000000005E-3</v>
      </c>
      <c r="L21" s="171"/>
      <c r="M21" s="170"/>
      <c r="N21" s="56"/>
    </row>
    <row r="22" spans="1:14" x14ac:dyDescent="0.35">
      <c r="A22" s="32"/>
      <c r="F22" s="124"/>
      <c r="G22" s="54">
        <v>5</v>
      </c>
      <c r="H22" s="89">
        <v>58.628999999999998</v>
      </c>
      <c r="I22" s="90">
        <v>41.371000000000002</v>
      </c>
      <c r="J22" s="91">
        <v>4.9200000000000001E-2</v>
      </c>
      <c r="K22" s="91">
        <v>1.44E-2</v>
      </c>
      <c r="L22" s="171"/>
      <c r="M22" s="170"/>
      <c r="N22" s="56"/>
    </row>
    <row r="23" spans="1:14" x14ac:dyDescent="0.35">
      <c r="A23" s="32"/>
      <c r="F23" s="124"/>
      <c r="G23" s="54">
        <v>6</v>
      </c>
      <c r="H23" s="89">
        <v>60.81</v>
      </c>
      <c r="I23" s="90">
        <v>39.19</v>
      </c>
      <c r="J23" s="91">
        <v>3.32E-2</v>
      </c>
      <c r="K23" s="92">
        <v>2.58E-2</v>
      </c>
      <c r="L23" s="171"/>
      <c r="M23" s="170"/>
      <c r="N23" s="56"/>
    </row>
    <row r="24" spans="1:14" x14ac:dyDescent="0.35">
      <c r="A24" s="32"/>
      <c r="F24" s="124"/>
      <c r="G24" s="54">
        <v>7</v>
      </c>
      <c r="H24" s="89">
        <v>66.796000000000006</v>
      </c>
      <c r="I24" s="90">
        <v>33.204000000000001</v>
      </c>
      <c r="J24" s="91">
        <v>8.5000000000000006E-3</v>
      </c>
      <c r="K24" s="91">
        <v>0.10979999999999999</v>
      </c>
      <c r="L24" s="171"/>
      <c r="M24" s="170"/>
      <c r="N24" s="56"/>
    </row>
    <row r="25" spans="1:14" ht="15" thickBot="1" x14ac:dyDescent="0.4">
      <c r="A25" s="33"/>
      <c r="B25" s="34"/>
      <c r="C25" s="34"/>
      <c r="D25" s="86"/>
      <c r="E25" s="34"/>
      <c r="F25" s="125"/>
      <c r="G25" s="106">
        <v>8</v>
      </c>
      <c r="H25" s="107">
        <v>68.138000000000005</v>
      </c>
      <c r="I25" s="107">
        <v>31.861999999999998</v>
      </c>
      <c r="J25" s="108">
        <v>0</v>
      </c>
      <c r="K25" s="108">
        <v>0.14449999999999999</v>
      </c>
      <c r="L25" s="171"/>
      <c r="M25" s="170"/>
      <c r="N25" s="56"/>
    </row>
    <row r="26" spans="1:14" ht="15.65" customHeight="1" x14ac:dyDescent="0.35">
      <c r="A26" s="29" t="s">
        <v>48</v>
      </c>
      <c r="B26" s="30">
        <v>2</v>
      </c>
      <c r="C26" s="102" t="s">
        <v>92</v>
      </c>
      <c r="D26" s="40" t="s">
        <v>103</v>
      </c>
      <c r="E26" s="35">
        <v>37.47</v>
      </c>
      <c r="F26" s="83">
        <v>65.412874958396884</v>
      </c>
      <c r="G26" s="102">
        <v>1</v>
      </c>
      <c r="H26" s="103">
        <v>38.64</v>
      </c>
      <c r="I26" s="104">
        <v>61.36</v>
      </c>
      <c r="J26" s="105">
        <v>1</v>
      </c>
      <c r="K26" s="105">
        <v>0</v>
      </c>
      <c r="L26" s="171">
        <f t="shared" si="0"/>
        <v>50.997</v>
      </c>
      <c r="M26" s="170">
        <f t="shared" si="1"/>
        <v>54.847999999999999</v>
      </c>
      <c r="N26" s="56">
        <f t="shared" si="2"/>
        <v>67.287000000000006</v>
      </c>
    </row>
    <row r="27" spans="1:14" ht="15.65" customHeight="1" x14ac:dyDescent="0.35">
      <c r="A27" s="32"/>
      <c r="D27" s="37"/>
      <c r="E27" s="27"/>
      <c r="F27" s="84"/>
      <c r="G27" s="54">
        <v>2</v>
      </c>
      <c r="H27" s="89">
        <v>47.277999999999999</v>
      </c>
      <c r="I27" s="90">
        <v>52.722000000000001</v>
      </c>
      <c r="J27" s="91">
        <v>0.14810000000000001</v>
      </c>
      <c r="K27" s="91">
        <v>0</v>
      </c>
      <c r="L27" s="171"/>
      <c r="M27" s="170"/>
      <c r="N27" s="56"/>
    </row>
    <row r="28" spans="1:14" ht="15.65" customHeight="1" x14ac:dyDescent="0.35">
      <c r="A28" s="32"/>
      <c r="D28" s="37"/>
      <c r="E28" s="27"/>
      <c r="F28" s="84"/>
      <c r="G28" s="54">
        <v>3</v>
      </c>
      <c r="H28" s="89">
        <v>50.997</v>
      </c>
      <c r="I28" s="90">
        <v>49.003</v>
      </c>
      <c r="J28" s="91">
        <v>5.7599999999999998E-2</v>
      </c>
      <c r="K28" s="91">
        <v>3.3999999999999998E-3</v>
      </c>
      <c r="L28" s="171"/>
      <c r="M28" s="170"/>
      <c r="N28" s="56"/>
    </row>
    <row r="29" spans="1:14" ht="15.5" x14ac:dyDescent="0.35">
      <c r="A29" s="32"/>
      <c r="E29" s="28"/>
      <c r="F29" s="81"/>
      <c r="G29" s="54">
        <v>4</v>
      </c>
      <c r="H29" s="89">
        <v>53.030999999999999</v>
      </c>
      <c r="I29" s="90">
        <v>46.969000000000001</v>
      </c>
      <c r="J29" s="91">
        <v>3.4200000000000001E-2</v>
      </c>
      <c r="K29" s="91">
        <v>5.3E-3</v>
      </c>
      <c r="L29" s="171"/>
      <c r="M29" s="170"/>
      <c r="N29" s="56"/>
    </row>
    <row r="30" spans="1:14" x14ac:dyDescent="0.35">
      <c r="A30" s="32"/>
      <c r="F30" s="124"/>
      <c r="G30" s="54">
        <v>5</v>
      </c>
      <c r="H30" s="89">
        <v>54.847999999999999</v>
      </c>
      <c r="I30" s="90">
        <v>45.152000000000001</v>
      </c>
      <c r="J30" s="91">
        <v>2.2700000000000001E-2</v>
      </c>
      <c r="K30" s="91">
        <v>7.9000000000000008E-3</v>
      </c>
      <c r="L30" s="171"/>
      <c r="M30" s="170"/>
      <c r="N30" s="56"/>
    </row>
    <row r="31" spans="1:14" x14ac:dyDescent="0.35">
      <c r="A31" s="32"/>
      <c r="F31" s="124"/>
      <c r="G31" s="54">
        <v>6</v>
      </c>
      <c r="H31" s="89">
        <v>56.884999999999998</v>
      </c>
      <c r="I31" s="90">
        <v>43.115000000000002</v>
      </c>
      <c r="J31" s="91">
        <v>1.3899999999999999E-2</v>
      </c>
      <c r="K31" s="92">
        <v>1.29E-2</v>
      </c>
      <c r="L31" s="171"/>
      <c r="M31" s="170"/>
      <c r="N31" s="56"/>
    </row>
    <row r="32" spans="1:14" x14ac:dyDescent="0.35">
      <c r="A32" s="32"/>
      <c r="F32" s="124"/>
      <c r="G32" s="54">
        <v>7</v>
      </c>
      <c r="H32" s="89">
        <v>65.703999999999994</v>
      </c>
      <c r="I32" s="90">
        <v>34.295999999999999</v>
      </c>
      <c r="J32" s="91">
        <v>6.3E-3</v>
      </c>
      <c r="K32" s="91">
        <v>9.8100000000000007E-2</v>
      </c>
      <c r="L32" s="171"/>
      <c r="M32" s="170"/>
      <c r="N32" s="56"/>
    </row>
    <row r="33" spans="1:31" ht="15" thickBot="1" x14ac:dyDescent="0.4">
      <c r="A33" s="33"/>
      <c r="B33" s="34"/>
      <c r="C33" s="34"/>
      <c r="D33" s="86"/>
      <c r="E33" s="34"/>
      <c r="F33" s="125"/>
      <c r="G33" s="106">
        <v>8</v>
      </c>
      <c r="H33" s="107">
        <v>67.287000000000006</v>
      </c>
      <c r="I33" s="107">
        <v>32.713000000000001</v>
      </c>
      <c r="J33" s="108">
        <v>0</v>
      </c>
      <c r="K33" s="108">
        <v>0.12690000000000001</v>
      </c>
      <c r="L33" s="171"/>
      <c r="M33" s="170"/>
      <c r="N33" s="56"/>
    </row>
    <row r="34" spans="1:31" ht="15.65" customHeight="1" x14ac:dyDescent="0.35">
      <c r="A34" s="29" t="s">
        <v>48</v>
      </c>
      <c r="B34" s="30">
        <v>2</v>
      </c>
      <c r="C34" s="102" t="s">
        <v>92</v>
      </c>
      <c r="D34" s="40" t="s">
        <v>104</v>
      </c>
      <c r="E34" s="35">
        <v>35.753333333333337</v>
      </c>
      <c r="F34" s="83">
        <v>49.964911434021062</v>
      </c>
      <c r="G34" s="102">
        <v>1</v>
      </c>
      <c r="H34" s="103">
        <v>50.92</v>
      </c>
      <c r="I34" s="104">
        <v>49.08</v>
      </c>
      <c r="J34" s="105">
        <v>1</v>
      </c>
      <c r="K34" s="105">
        <v>0</v>
      </c>
      <c r="L34" s="171">
        <f t="shared" si="0"/>
        <v>60.564999999999998</v>
      </c>
      <c r="M34" s="170">
        <f t="shared" si="1"/>
        <v>63.261000000000003</v>
      </c>
      <c r="N34" s="56">
        <f t="shared" si="2"/>
        <v>70.061999999999998</v>
      </c>
    </row>
    <row r="35" spans="1:31" ht="15.65" customHeight="1" x14ac:dyDescent="0.35">
      <c r="A35" s="32"/>
      <c r="D35" s="37"/>
      <c r="E35" s="27"/>
      <c r="F35" s="84"/>
      <c r="G35" s="54">
        <v>2</v>
      </c>
      <c r="H35" s="89">
        <v>56.734999999999999</v>
      </c>
      <c r="I35" s="90">
        <v>43.265000000000001</v>
      </c>
      <c r="J35" s="91">
        <v>0.19839999999999999</v>
      </c>
      <c r="K35" s="91">
        <v>0</v>
      </c>
      <c r="L35" s="171"/>
      <c r="M35" s="170"/>
      <c r="N35" s="56"/>
    </row>
    <row r="36" spans="1:31" ht="15.65" customHeight="1" x14ac:dyDescent="0.35">
      <c r="A36" s="32"/>
      <c r="D36" s="37"/>
      <c r="E36" s="27"/>
      <c r="F36" s="84"/>
      <c r="G36" s="54">
        <v>3</v>
      </c>
      <c r="H36" s="89">
        <v>60.564999999999998</v>
      </c>
      <c r="I36" s="90">
        <v>39.435000000000002</v>
      </c>
      <c r="J36" s="91">
        <v>6.6299999999999998E-2</v>
      </c>
      <c r="K36" s="91">
        <v>3.8999999999999998E-3</v>
      </c>
      <c r="L36" s="171"/>
      <c r="M36" s="170"/>
      <c r="N36" s="56"/>
    </row>
    <row r="37" spans="1:31" ht="15.5" x14ac:dyDescent="0.35">
      <c r="A37" s="32"/>
      <c r="E37" s="28"/>
      <c r="F37" s="81"/>
      <c r="G37" s="54">
        <v>4</v>
      </c>
      <c r="H37" s="89">
        <v>61.991999999999997</v>
      </c>
      <c r="I37" s="90">
        <v>38.008000000000003</v>
      </c>
      <c r="J37" s="91">
        <v>4.1700000000000001E-2</v>
      </c>
      <c r="K37" s="91">
        <v>6.4999999999999997E-3</v>
      </c>
      <c r="L37" s="171"/>
      <c r="M37" s="170"/>
      <c r="N37" s="56"/>
    </row>
    <row r="38" spans="1:31" x14ac:dyDescent="0.35">
      <c r="A38" s="32"/>
      <c r="F38" s="124"/>
      <c r="G38" s="54">
        <v>5</v>
      </c>
      <c r="H38" s="89">
        <v>63.261000000000003</v>
      </c>
      <c r="I38" s="90">
        <v>36.738999999999997</v>
      </c>
      <c r="J38" s="91">
        <v>2.9399999999999999E-2</v>
      </c>
      <c r="K38" s="91">
        <v>1.03E-2</v>
      </c>
      <c r="L38" s="171"/>
      <c r="M38" s="170"/>
      <c r="N38" s="56"/>
      <c r="P38" s="69" t="s">
        <v>11</v>
      </c>
      <c r="Q38" s="69" t="s">
        <v>13</v>
      </c>
      <c r="R38" s="69" t="s">
        <v>77</v>
      </c>
      <c r="S38" s="69" t="s">
        <v>37</v>
      </c>
      <c r="T38" s="69"/>
      <c r="U38" s="69" t="s">
        <v>133</v>
      </c>
      <c r="V38" s="69" t="s">
        <v>134</v>
      </c>
      <c r="W38" s="69" t="s">
        <v>135</v>
      </c>
      <c r="X38" s="69" t="s">
        <v>87</v>
      </c>
      <c r="Y38" s="69" t="s">
        <v>85</v>
      </c>
      <c r="Z38" s="69" t="s">
        <v>142</v>
      </c>
      <c r="AA38" s="69" t="s">
        <v>143</v>
      </c>
      <c r="AB38" s="69" t="s">
        <v>86</v>
      </c>
      <c r="AC38" s="69" t="s">
        <v>88</v>
      </c>
      <c r="AD38" s="69" t="s">
        <v>89</v>
      </c>
      <c r="AE38" s="146" t="s">
        <v>144</v>
      </c>
    </row>
    <row r="39" spans="1:31" x14ac:dyDescent="0.35">
      <c r="A39" s="32"/>
      <c r="F39" s="124"/>
      <c r="G39" s="54">
        <v>6</v>
      </c>
      <c r="H39" s="89">
        <v>64.534999999999997</v>
      </c>
      <c r="I39" s="90">
        <v>35.465000000000003</v>
      </c>
      <c r="J39" s="91">
        <v>1.9400000000000001E-2</v>
      </c>
      <c r="K39" s="92">
        <v>1.8100000000000002E-2</v>
      </c>
      <c r="L39" s="171"/>
      <c r="M39" s="170"/>
      <c r="N39" s="56"/>
      <c r="P39">
        <v>3</v>
      </c>
      <c r="Q39" s="64">
        <v>77.114005800170673</v>
      </c>
      <c r="R39" s="64">
        <v>0.30239881346735481</v>
      </c>
      <c r="S39" s="64">
        <v>0.71</v>
      </c>
      <c r="T39" s="136"/>
      <c r="U39">
        <f t="shared" ref="U39:U44" si="3" xml:space="preserve"> -7.58*LN(P39) + 87.694</f>
        <v>79.366518851895734</v>
      </c>
      <c r="V39">
        <f xml:space="preserve"> -3.256*LN(P39) + 81.886</f>
        <v>78.308918388096629</v>
      </c>
      <c r="W39" s="70">
        <f t="shared" ref="W39:W44" si="4">-6.617*LN(P39)+86.995</f>
        <v>79.72548248588312</v>
      </c>
      <c r="X39" s="70">
        <f>$R39*((100-$W39)/($W39-$Q39))^$S39</f>
        <v>1.2957636392015524</v>
      </c>
      <c r="Y39" s="70">
        <f t="shared" ref="Y39:Y44" si="5">$R39*((100-$U39)/($U39-$Q39))^$S39</f>
        <v>1.4572456489501451</v>
      </c>
      <c r="Z39" s="71">
        <f>Y39 *(30*0.86/72*1)</f>
        <v>0.522179690873802</v>
      </c>
      <c r="AA39" s="71">
        <f t="shared" ref="AA39:AA44" si="6">(1000/9.8)*($Z39/(1.006-0.726))</f>
        <v>190.29872116392198</v>
      </c>
      <c r="AB39" s="70">
        <f>$R39*((100-$W39)/($W39-$Q39))^$S39</f>
        <v>1.2957636392015524</v>
      </c>
      <c r="AC39" s="71">
        <f>AB39 *(30*0.86/72*1)</f>
        <v>0.46431530404722293</v>
      </c>
      <c r="AD39" s="71">
        <f>(1000/9.8)*($AC39/(1.006-0.726))</f>
        <v>169.21111663528529</v>
      </c>
      <c r="AE39">
        <f>AA39-AD39</f>
        <v>21.087604528636689</v>
      </c>
    </row>
    <row r="40" spans="1:31" x14ac:dyDescent="0.35">
      <c r="A40" s="32"/>
      <c r="F40" s="124"/>
      <c r="G40" s="54">
        <v>7</v>
      </c>
      <c r="H40" s="89">
        <v>68.588999999999999</v>
      </c>
      <c r="I40" s="90">
        <v>31.411000000000001</v>
      </c>
      <c r="J40" s="91">
        <v>4.4999999999999997E-3</v>
      </c>
      <c r="K40" s="91">
        <v>6.3799999999999996E-2</v>
      </c>
      <c r="L40" s="171"/>
      <c r="M40" s="170"/>
      <c r="N40" s="56"/>
      <c r="P40">
        <v>10</v>
      </c>
      <c r="Q40" s="64">
        <v>66.003744761850939</v>
      </c>
      <c r="R40" s="64">
        <v>0.20745267322740835</v>
      </c>
      <c r="S40" s="64">
        <v>0.71</v>
      </c>
      <c r="T40" s="136"/>
      <c r="U40">
        <f t="shared" si="3"/>
        <v>70.240404995105138</v>
      </c>
      <c r="V40">
        <f t="shared" ref="V40:V44" si="7" xml:space="preserve"> -3.256*LN(P40) + 81.886</f>
        <v>74.388782937211388</v>
      </c>
      <c r="W40" s="70">
        <f t="shared" si="4"/>
        <v>71.758794439658402</v>
      </c>
      <c r="X40" s="70">
        <f t="shared" ref="X40:X44" si="8">$R40*((100-$W40)/($W40-$Q40))^$S40</f>
        <v>0.64181710260403524</v>
      </c>
      <c r="Y40" s="70">
        <f t="shared" si="5"/>
        <v>0.82795633894752907</v>
      </c>
      <c r="Z40" s="71">
        <f t="shared" ref="Z40:Z44" si="9">Y40 *(30*0.86/72*1)</f>
        <v>0.29668435478953126</v>
      </c>
      <c r="AA40" s="71">
        <f t="shared" si="6"/>
        <v>108.12112055012069</v>
      </c>
      <c r="AB40" s="70">
        <f>$R40*((100-$V40)/($V40-$Q40))^$S40</f>
        <v>0.4583697071468682</v>
      </c>
      <c r="AC40" s="71">
        <f>AB40 *(30*0.86/72*1)</f>
        <v>0.16424914506096111</v>
      </c>
      <c r="AD40" s="71">
        <f t="shared" ref="AD40:AD44" si="10">(1000/9.8)*($AC40/(1.006-0.726))</f>
        <v>59.85756015341147</v>
      </c>
      <c r="AE40">
        <f t="shared" ref="AE40:AE44" si="11">AA40-AD40</f>
        <v>48.263560396709224</v>
      </c>
    </row>
    <row r="41" spans="1:31" ht="15" thickBot="1" x14ac:dyDescent="0.4">
      <c r="A41" s="33"/>
      <c r="B41" s="34"/>
      <c r="C41" s="34"/>
      <c r="D41" s="86"/>
      <c r="E41" s="34"/>
      <c r="F41" s="125"/>
      <c r="G41" s="106">
        <v>8</v>
      </c>
      <c r="H41" s="107">
        <v>70.061999999999998</v>
      </c>
      <c r="I41" s="107">
        <v>29.937999999999999</v>
      </c>
      <c r="J41" s="108">
        <v>0</v>
      </c>
      <c r="K41" s="108">
        <v>8.5699999999999998E-2</v>
      </c>
      <c r="L41" s="171"/>
      <c r="M41" s="170"/>
      <c r="N41" s="56"/>
      <c r="P41">
        <v>20</v>
      </c>
      <c r="Q41" s="64">
        <v>59.607382579643769</v>
      </c>
      <c r="R41" s="64">
        <v>0.16699237710704362</v>
      </c>
      <c r="S41" s="64">
        <v>0.71</v>
      </c>
      <c r="T41" s="136"/>
      <c r="U41">
        <f t="shared" si="3"/>
        <v>64.986349366460757</v>
      </c>
      <c r="V41">
        <f t="shared" si="7"/>
        <v>72.131895717308197</v>
      </c>
      <c r="W41" s="70">
        <f t="shared" si="4"/>
        <v>67.172239545893248</v>
      </c>
      <c r="X41" s="70">
        <f t="shared" si="8"/>
        <v>0.47345578403101779</v>
      </c>
      <c r="Y41" s="70">
        <f t="shared" si="5"/>
        <v>0.63140643561036136</v>
      </c>
      <c r="Z41" s="71">
        <f t="shared" si="9"/>
        <v>0.22625397276037948</v>
      </c>
      <c r="AA41" s="71">
        <f t="shared" si="6"/>
        <v>82.454071705677634</v>
      </c>
      <c r="AB41" s="70">
        <f t="shared" ref="AB41:AB44" si="12">$R41*((100-$V41)/($V41-$Q41))^$S41</f>
        <v>0.29465425342613427</v>
      </c>
      <c r="AC41" s="71">
        <f t="shared" ref="AC41:AC44" si="13">AB41 *(30*0.86/72*1)</f>
        <v>0.10558444081103145</v>
      </c>
      <c r="AD41" s="71">
        <f t="shared" si="10"/>
        <v>38.478294756206793</v>
      </c>
      <c r="AE41">
        <f t="shared" si="11"/>
        <v>43.975776949470841</v>
      </c>
    </row>
    <row r="42" spans="1:31" ht="15.65" customHeight="1" x14ac:dyDescent="0.35">
      <c r="A42" s="29" t="s">
        <v>48</v>
      </c>
      <c r="B42" s="30">
        <v>2</v>
      </c>
      <c r="C42" s="102" t="s">
        <v>92</v>
      </c>
      <c r="D42" s="40" t="s">
        <v>105</v>
      </c>
      <c r="E42" s="35">
        <v>34.513333333333328</v>
      </c>
      <c r="F42" s="83">
        <v>446.40001346890602</v>
      </c>
      <c r="G42" s="102">
        <v>1</v>
      </c>
      <c r="H42" s="103">
        <v>25.09</v>
      </c>
      <c r="I42" s="104">
        <v>74.91</v>
      </c>
      <c r="J42" s="105">
        <v>1</v>
      </c>
      <c r="K42" s="105">
        <v>0</v>
      </c>
      <c r="L42" s="171">
        <f t="shared" si="0"/>
        <v>38.042000000000002</v>
      </c>
      <c r="M42" s="170">
        <f t="shared" si="1"/>
        <v>43.292000000000002</v>
      </c>
      <c r="N42" s="56">
        <f t="shared" si="2"/>
        <v>60.680999999999997</v>
      </c>
      <c r="P42">
        <v>50</v>
      </c>
      <c r="Q42" s="64">
        <v>51.151851705909067</v>
      </c>
      <c r="R42" s="64">
        <v>0.12535493157013003</v>
      </c>
      <c r="S42" s="64">
        <v>0.71</v>
      </c>
      <c r="T42" s="136"/>
      <c r="U42">
        <f t="shared" si="3"/>
        <v>58.040865618854653</v>
      </c>
      <c r="V42">
        <f t="shared" si="7"/>
        <v>69.148453094325959</v>
      </c>
      <c r="W42" s="70">
        <f t="shared" si="4"/>
        <v>61.109143773081968</v>
      </c>
      <c r="X42" s="70">
        <f t="shared" si="8"/>
        <v>0.32980168321427716</v>
      </c>
      <c r="Y42" s="70">
        <f t="shared" si="5"/>
        <v>0.45212314456593272</v>
      </c>
      <c r="Z42" s="71">
        <f t="shared" si="9"/>
        <v>0.16201079346945924</v>
      </c>
      <c r="AA42" s="71">
        <f t="shared" si="6"/>
        <v>59.041834354759182</v>
      </c>
      <c r="AB42" s="70">
        <f t="shared" si="12"/>
        <v>0.18379885501405019</v>
      </c>
      <c r="AC42" s="71">
        <f t="shared" si="13"/>
        <v>6.586125638003465E-2</v>
      </c>
      <c r="AD42" s="71">
        <f t="shared" si="10"/>
        <v>24.001915590391629</v>
      </c>
      <c r="AE42">
        <f t="shared" si="11"/>
        <v>35.039918764367556</v>
      </c>
    </row>
    <row r="43" spans="1:31" ht="15.65" customHeight="1" x14ac:dyDescent="0.35">
      <c r="A43" s="32"/>
      <c r="D43" s="37"/>
      <c r="E43" s="27"/>
      <c r="F43" s="84"/>
      <c r="G43" s="54">
        <v>2</v>
      </c>
      <c r="H43" s="89">
        <v>32.078000000000003</v>
      </c>
      <c r="I43" s="90">
        <v>67.921999999999997</v>
      </c>
      <c r="J43" s="91">
        <v>0.3236</v>
      </c>
      <c r="K43" s="91">
        <v>0</v>
      </c>
      <c r="L43" s="171"/>
      <c r="M43" s="170"/>
      <c r="N43" s="56"/>
      <c r="P43">
        <v>200</v>
      </c>
      <c r="Q43" s="64">
        <v>38.35912734149472</v>
      </c>
      <c r="R43" s="64">
        <v>8.1226295520411884E-2</v>
      </c>
      <c r="S43" s="64">
        <v>0.71</v>
      </c>
      <c r="U43">
        <f t="shared" si="3"/>
        <v>47.532754361565885</v>
      </c>
      <c r="V43">
        <f t="shared" si="7"/>
        <v>64.63467865451959</v>
      </c>
      <c r="W43" s="70">
        <f t="shared" si="4"/>
        <v>51.936033985551646</v>
      </c>
      <c r="X43" s="70">
        <f t="shared" si="8"/>
        <v>0.19929663917939686</v>
      </c>
      <c r="Y43" s="70">
        <f t="shared" si="5"/>
        <v>0.28016452918563378</v>
      </c>
      <c r="Z43" s="71">
        <f t="shared" si="9"/>
        <v>0.10039228962485211</v>
      </c>
      <c r="AA43" s="71">
        <f t="shared" si="6"/>
        <v>36.58611137931927</v>
      </c>
      <c r="AB43" s="70">
        <f t="shared" si="12"/>
        <v>0.10030092647865867</v>
      </c>
      <c r="AC43" s="71">
        <f t="shared" si="13"/>
        <v>3.5941165321519357E-2</v>
      </c>
      <c r="AD43" s="71">
        <f t="shared" si="10"/>
        <v>13.098092318337955</v>
      </c>
      <c r="AE43">
        <f t="shared" si="11"/>
        <v>23.488019060981316</v>
      </c>
    </row>
    <row r="44" spans="1:31" ht="15.65" customHeight="1" x14ac:dyDescent="0.35">
      <c r="A44" s="32"/>
      <c r="D44" s="37"/>
      <c r="E44" s="27"/>
      <c r="F44" s="84"/>
      <c r="G44" s="54">
        <v>3</v>
      </c>
      <c r="H44" s="89">
        <v>38.042000000000002</v>
      </c>
      <c r="I44" s="90">
        <v>61.957999999999998</v>
      </c>
      <c r="J44" s="91">
        <v>0.1148</v>
      </c>
      <c r="K44" s="91">
        <v>3.8999999999999998E-3</v>
      </c>
      <c r="L44" s="171"/>
      <c r="M44" s="170"/>
      <c r="N44" s="56"/>
      <c r="P44">
        <v>500</v>
      </c>
      <c r="Q44" s="64">
        <v>29.903596467760018</v>
      </c>
      <c r="R44" s="64">
        <v>6.0973541984671337E-2</v>
      </c>
      <c r="S44" s="64">
        <v>0.71</v>
      </c>
      <c r="U44">
        <f t="shared" si="3"/>
        <v>40.587270613959788</v>
      </c>
      <c r="V44">
        <f t="shared" si="7"/>
        <v>61.651236031537337</v>
      </c>
      <c r="W44" s="70">
        <f t="shared" si="4"/>
        <v>45.872938212740365</v>
      </c>
      <c r="X44" s="70">
        <f t="shared" si="8"/>
        <v>0.1450547333154808</v>
      </c>
      <c r="Y44" s="70">
        <f t="shared" si="5"/>
        <v>0.20615991299141265</v>
      </c>
      <c r="Z44" s="71">
        <f t="shared" si="9"/>
        <v>7.3873968821922861E-2</v>
      </c>
      <c r="AA44" s="71">
        <f t="shared" si="6"/>
        <v>26.922000299534567</v>
      </c>
      <c r="AB44" s="70">
        <f t="shared" si="12"/>
        <v>6.9725200879138513E-2</v>
      </c>
      <c r="AC44" s="71">
        <f t="shared" si="13"/>
        <v>2.4984863648357968E-2</v>
      </c>
      <c r="AD44" s="71">
        <f t="shared" si="10"/>
        <v>9.1052710088768087</v>
      </c>
      <c r="AE44">
        <f t="shared" si="11"/>
        <v>17.816729290657758</v>
      </c>
    </row>
    <row r="45" spans="1:31" ht="15.5" x14ac:dyDescent="0.35">
      <c r="A45" s="32"/>
      <c r="E45" s="28"/>
      <c r="F45" s="81"/>
      <c r="G45" s="54">
        <v>4</v>
      </c>
      <c r="H45" s="89">
        <v>40.771000000000001</v>
      </c>
      <c r="I45" s="90">
        <v>59.228999999999999</v>
      </c>
      <c r="J45" s="91">
        <v>7.1300000000000002E-2</v>
      </c>
      <c r="K45" s="91">
        <v>1.11E-2</v>
      </c>
      <c r="L45" s="171"/>
      <c r="M45" s="170"/>
      <c r="N45" s="56"/>
    </row>
    <row r="46" spans="1:31" x14ac:dyDescent="0.35">
      <c r="A46" s="32"/>
      <c r="F46" s="124"/>
      <c r="G46" s="54">
        <v>5</v>
      </c>
      <c r="H46" s="89">
        <v>43.292000000000002</v>
      </c>
      <c r="I46" s="90">
        <v>56.707999999999998</v>
      </c>
      <c r="J46" s="91">
        <v>4.7E-2</v>
      </c>
      <c r="K46" s="91">
        <v>1.6400000000000001E-2</v>
      </c>
      <c r="L46" s="171"/>
      <c r="M46" s="170"/>
      <c r="N46" s="56"/>
    </row>
    <row r="47" spans="1:31" x14ac:dyDescent="0.35">
      <c r="A47" s="32"/>
      <c r="F47" s="124"/>
      <c r="G47" s="54">
        <v>6</v>
      </c>
      <c r="H47" s="89">
        <v>46.213000000000001</v>
      </c>
      <c r="I47" s="90">
        <v>53.786999999999999</v>
      </c>
      <c r="J47" s="91">
        <v>2.8799999999999999E-2</v>
      </c>
      <c r="K47" s="92">
        <v>2.6800000000000001E-2</v>
      </c>
      <c r="L47" s="171"/>
      <c r="M47" s="170"/>
      <c r="N47" s="56"/>
    </row>
    <row r="48" spans="1:31" x14ac:dyDescent="0.35">
      <c r="A48" s="32"/>
      <c r="F48" s="124"/>
      <c r="G48" s="54">
        <v>7</v>
      </c>
      <c r="H48" s="89">
        <v>57.656999999999996</v>
      </c>
      <c r="I48" s="90">
        <v>42.343000000000004</v>
      </c>
      <c r="J48" s="91">
        <v>7.9000000000000008E-3</v>
      </c>
      <c r="K48" s="91">
        <v>0.2044</v>
      </c>
      <c r="L48" s="171"/>
      <c r="M48" s="170"/>
      <c r="N48" s="56"/>
    </row>
    <row r="49" spans="1:14" ht="15" thickBot="1" x14ac:dyDescent="0.4">
      <c r="A49" s="33"/>
      <c r="B49" s="34"/>
      <c r="C49" s="34"/>
      <c r="D49" s="86"/>
      <c r="E49" s="34"/>
      <c r="F49" s="125"/>
      <c r="G49" s="106">
        <v>8</v>
      </c>
      <c r="H49" s="107">
        <v>60.680999999999997</v>
      </c>
      <c r="I49" s="107">
        <v>39.319000000000003</v>
      </c>
      <c r="J49" s="108">
        <v>0</v>
      </c>
      <c r="K49" s="108">
        <v>0.28029999999999999</v>
      </c>
      <c r="L49" s="171"/>
      <c r="M49" s="170"/>
      <c r="N49" s="56"/>
    </row>
    <row r="50" spans="1:14" ht="15.65" customHeight="1" x14ac:dyDescent="0.35">
      <c r="A50" s="29" t="s">
        <v>48</v>
      </c>
      <c r="B50" s="30">
        <v>1</v>
      </c>
      <c r="C50" s="102" t="s">
        <v>94</v>
      </c>
      <c r="D50" s="40" t="s">
        <v>106</v>
      </c>
      <c r="E50" s="35">
        <v>37.193333333333335</v>
      </c>
      <c r="F50" s="83">
        <v>293.18431165839678</v>
      </c>
      <c r="G50" s="102">
        <v>1</v>
      </c>
      <c r="H50" s="103">
        <v>27.02</v>
      </c>
      <c r="I50" s="104">
        <v>72.98</v>
      </c>
      <c r="J50" s="105">
        <v>1</v>
      </c>
      <c r="K50" s="105">
        <v>0</v>
      </c>
      <c r="L50" s="171">
        <f t="shared" si="0"/>
        <v>43.024999999999999</v>
      </c>
      <c r="M50" s="170">
        <f t="shared" si="1"/>
        <v>47.926000000000002</v>
      </c>
      <c r="N50" s="56">
        <f t="shared" si="2"/>
        <v>61.225000000000001</v>
      </c>
    </row>
    <row r="51" spans="1:14" ht="15.65" customHeight="1" x14ac:dyDescent="0.35">
      <c r="A51" s="32"/>
      <c r="D51" s="37"/>
      <c r="E51" s="27"/>
      <c r="F51" s="84"/>
      <c r="G51" s="54">
        <v>2</v>
      </c>
      <c r="H51" s="89">
        <v>37.899000000000001</v>
      </c>
      <c r="I51" s="90">
        <v>62.100999999999999</v>
      </c>
      <c r="J51" s="91">
        <v>0.2233</v>
      </c>
      <c r="K51" s="91">
        <v>0</v>
      </c>
      <c r="L51" s="171"/>
      <c r="M51" s="170"/>
      <c r="N51" s="56"/>
    </row>
    <row r="52" spans="1:14" ht="15.65" customHeight="1" x14ac:dyDescent="0.35">
      <c r="A52" s="32"/>
      <c r="D52" s="37"/>
      <c r="E52" s="27"/>
      <c r="F52" s="84"/>
      <c r="G52" s="54">
        <v>3</v>
      </c>
      <c r="H52" s="89">
        <v>43.024999999999999</v>
      </c>
      <c r="I52" s="90">
        <v>56.975000000000001</v>
      </c>
      <c r="J52" s="91">
        <v>0.10050000000000001</v>
      </c>
      <c r="K52" s="91">
        <v>2.8E-3</v>
      </c>
      <c r="L52" s="171"/>
      <c r="M52" s="170"/>
      <c r="N52" s="56"/>
    </row>
    <row r="53" spans="1:14" ht="15.5" x14ac:dyDescent="0.35">
      <c r="A53" s="32"/>
      <c r="E53" s="28"/>
      <c r="F53" s="81"/>
      <c r="G53" s="54">
        <v>4</v>
      </c>
      <c r="H53" s="89">
        <v>45.71</v>
      </c>
      <c r="I53" s="90">
        <v>54.29</v>
      </c>
      <c r="J53" s="91">
        <v>6.3799999999999996E-2</v>
      </c>
      <c r="K53" s="91">
        <v>4.7000000000000002E-3</v>
      </c>
      <c r="L53" s="171"/>
      <c r="M53" s="170"/>
      <c r="N53" s="56"/>
    </row>
    <row r="54" spans="1:14" x14ac:dyDescent="0.35">
      <c r="A54" s="32"/>
      <c r="F54" s="124"/>
      <c r="G54" s="54">
        <v>5</v>
      </c>
      <c r="H54" s="89">
        <v>47.926000000000002</v>
      </c>
      <c r="I54" s="90">
        <v>52.073999999999998</v>
      </c>
      <c r="J54" s="91">
        <v>4.5199999999999997E-2</v>
      </c>
      <c r="K54" s="91">
        <v>7.4999999999999997E-3</v>
      </c>
      <c r="L54" s="171"/>
      <c r="M54" s="170"/>
      <c r="N54" s="56"/>
    </row>
    <row r="55" spans="1:14" x14ac:dyDescent="0.35">
      <c r="A55" s="32"/>
      <c r="F55" s="124"/>
      <c r="G55" s="54">
        <v>6</v>
      </c>
      <c r="H55" s="89">
        <v>50.46</v>
      </c>
      <c r="I55" s="90">
        <v>49.54</v>
      </c>
      <c r="J55" s="91">
        <v>3.0800000000000001E-2</v>
      </c>
      <c r="K55" s="92">
        <v>1.3599999999999999E-2</v>
      </c>
      <c r="L55" s="171"/>
      <c r="M55" s="170"/>
      <c r="N55" s="56"/>
    </row>
    <row r="56" spans="1:14" x14ac:dyDescent="0.35">
      <c r="A56" s="32"/>
      <c r="F56" s="124"/>
      <c r="G56" s="54">
        <v>7</v>
      </c>
      <c r="H56" s="89">
        <v>59.341000000000001</v>
      </c>
      <c r="I56" s="90">
        <v>40.658999999999999</v>
      </c>
      <c r="J56" s="91">
        <v>8.0999999999999996E-3</v>
      </c>
      <c r="K56" s="91">
        <v>9.0499999999999997E-2</v>
      </c>
      <c r="L56" s="171"/>
      <c r="M56" s="170"/>
      <c r="N56" s="56"/>
    </row>
    <row r="57" spans="1:14" ht="15" thickBot="1" x14ac:dyDescent="0.4">
      <c r="A57" s="33"/>
      <c r="B57" s="34"/>
      <c r="C57" s="34"/>
      <c r="D57" s="86"/>
      <c r="E57" s="34"/>
      <c r="F57" s="125"/>
      <c r="G57" s="106">
        <v>8</v>
      </c>
      <c r="H57" s="107">
        <v>61.225000000000001</v>
      </c>
      <c r="I57" s="107">
        <v>38.774999999999999</v>
      </c>
      <c r="J57" s="108">
        <v>0</v>
      </c>
      <c r="K57" s="108">
        <v>0.11899999999999999</v>
      </c>
      <c r="L57" s="171"/>
      <c r="M57" s="170"/>
      <c r="N57" s="56"/>
    </row>
    <row r="58" spans="1:14" ht="15.65" customHeight="1" x14ac:dyDescent="0.35">
      <c r="A58" s="29" t="s">
        <v>48</v>
      </c>
      <c r="B58" s="30">
        <v>1</v>
      </c>
      <c r="C58" s="102" t="s">
        <v>94</v>
      </c>
      <c r="D58" s="40" t="s">
        <v>107</v>
      </c>
      <c r="E58" s="35">
        <v>36.93</v>
      </c>
      <c r="F58" s="83">
        <v>275.18118309719409</v>
      </c>
      <c r="G58" s="102">
        <v>1</v>
      </c>
      <c r="H58" s="103">
        <v>36.909999999999997</v>
      </c>
      <c r="I58" s="104">
        <v>63.09</v>
      </c>
      <c r="J58" s="105">
        <v>1</v>
      </c>
      <c r="K58" s="105">
        <v>0</v>
      </c>
      <c r="L58" s="171">
        <f t="shared" si="0"/>
        <v>47.793999999999997</v>
      </c>
      <c r="M58" s="170">
        <f t="shared" si="1"/>
        <v>52.207000000000001</v>
      </c>
      <c r="N58" s="56">
        <f t="shared" si="2"/>
        <v>65.471999999999994</v>
      </c>
    </row>
    <row r="59" spans="1:14" ht="15.65" customHeight="1" x14ac:dyDescent="0.35">
      <c r="A59" s="32"/>
      <c r="D59" s="37"/>
      <c r="E59" s="27"/>
      <c r="F59" s="84"/>
      <c r="G59" s="54">
        <v>2</v>
      </c>
      <c r="H59" s="89">
        <v>44.061</v>
      </c>
      <c r="I59" s="90">
        <v>55.939</v>
      </c>
      <c r="J59" s="91">
        <v>0.28439999999999999</v>
      </c>
      <c r="K59" s="91">
        <v>0</v>
      </c>
      <c r="L59" s="171"/>
      <c r="M59" s="170"/>
      <c r="N59" s="56"/>
    </row>
    <row r="60" spans="1:14" ht="15.65" customHeight="1" x14ac:dyDescent="0.35">
      <c r="A60" s="32"/>
      <c r="D60" s="37"/>
      <c r="E60" s="27"/>
      <c r="F60" s="84"/>
      <c r="G60" s="54">
        <v>3</v>
      </c>
      <c r="H60" s="89">
        <v>47.793999999999997</v>
      </c>
      <c r="I60" s="90">
        <v>52.206000000000003</v>
      </c>
      <c r="J60" s="91">
        <v>0.1429</v>
      </c>
      <c r="K60" s="91">
        <v>3.8999999999999998E-3</v>
      </c>
      <c r="L60" s="171"/>
      <c r="M60" s="170"/>
      <c r="N60" s="56"/>
    </row>
    <row r="61" spans="1:14" ht="15.5" x14ac:dyDescent="0.35">
      <c r="A61" s="32"/>
      <c r="E61" s="28"/>
      <c r="F61" s="81"/>
      <c r="G61" s="54">
        <v>4</v>
      </c>
      <c r="H61" s="89">
        <v>50.164999999999999</v>
      </c>
      <c r="I61" s="90">
        <v>49.835000000000001</v>
      </c>
      <c r="J61" s="91">
        <v>8.7900000000000006E-2</v>
      </c>
      <c r="K61" s="91">
        <v>6.4999999999999997E-3</v>
      </c>
      <c r="L61" s="171"/>
      <c r="M61" s="170"/>
      <c r="N61" s="56"/>
    </row>
    <row r="62" spans="1:14" x14ac:dyDescent="0.35">
      <c r="A62" s="32"/>
      <c r="F62" s="124"/>
      <c r="G62" s="54">
        <v>5</v>
      </c>
      <c r="H62" s="89">
        <v>52.207000000000001</v>
      </c>
      <c r="I62" s="90">
        <v>47.792999999999999</v>
      </c>
      <c r="J62" s="91">
        <v>5.8099999999999999E-2</v>
      </c>
      <c r="K62" s="91">
        <v>9.5999999999999992E-3</v>
      </c>
      <c r="L62" s="171"/>
      <c r="M62" s="170"/>
      <c r="N62" s="56"/>
    </row>
    <row r="63" spans="1:14" x14ac:dyDescent="0.35">
      <c r="A63" s="32"/>
      <c r="F63" s="124"/>
      <c r="G63" s="54">
        <v>6</v>
      </c>
      <c r="H63" s="89">
        <v>54.637999999999998</v>
      </c>
      <c r="I63" s="90">
        <v>45.362000000000002</v>
      </c>
      <c r="J63" s="91">
        <v>3.5299999999999998E-2</v>
      </c>
      <c r="K63" s="92">
        <v>1.5599999999999999E-2</v>
      </c>
      <c r="L63" s="171"/>
      <c r="M63" s="170"/>
      <c r="N63" s="56"/>
    </row>
    <row r="64" spans="1:14" x14ac:dyDescent="0.35">
      <c r="A64" s="32"/>
      <c r="F64" s="124"/>
      <c r="G64" s="54">
        <v>7</v>
      </c>
      <c r="H64" s="89">
        <v>63.146999999999998</v>
      </c>
      <c r="I64" s="90">
        <v>36.853000000000002</v>
      </c>
      <c r="J64" s="91">
        <v>9.5999999999999992E-3</v>
      </c>
      <c r="K64" s="91">
        <v>8.4500000000000006E-2</v>
      </c>
      <c r="L64" s="171"/>
      <c r="M64" s="170"/>
      <c r="N64" s="56"/>
    </row>
    <row r="65" spans="1:14" ht="15" thickBot="1" x14ac:dyDescent="0.4">
      <c r="A65" s="33"/>
      <c r="B65" s="34"/>
      <c r="C65" s="34"/>
      <c r="D65" s="86"/>
      <c r="E65" s="34"/>
      <c r="F65" s="125"/>
      <c r="G65" s="106">
        <v>8</v>
      </c>
      <c r="H65" s="107">
        <v>65.471999999999994</v>
      </c>
      <c r="I65" s="107">
        <v>34.527999999999999</v>
      </c>
      <c r="J65" s="108">
        <v>0</v>
      </c>
      <c r="K65" s="108">
        <v>0.1166</v>
      </c>
      <c r="L65" s="171"/>
      <c r="M65" s="170"/>
      <c r="N65" s="56"/>
    </row>
    <row r="66" spans="1:14" x14ac:dyDescent="0.35">
      <c r="A66" s="29" t="s">
        <v>48</v>
      </c>
      <c r="B66" s="30">
        <v>1</v>
      </c>
      <c r="C66" s="102" t="s">
        <v>94</v>
      </c>
      <c r="D66" s="109" t="s">
        <v>108</v>
      </c>
      <c r="E66" s="30">
        <v>36.043333333333329</v>
      </c>
      <c r="F66" s="126">
        <v>795.22141329444753</v>
      </c>
      <c r="G66" s="102">
        <v>1</v>
      </c>
      <c r="H66" s="103">
        <v>25.72</v>
      </c>
      <c r="I66" s="104">
        <v>74.28</v>
      </c>
      <c r="J66" s="105">
        <v>1</v>
      </c>
      <c r="K66" s="105">
        <v>0</v>
      </c>
      <c r="L66" s="171">
        <f t="shared" si="0"/>
        <v>38.567</v>
      </c>
      <c r="M66" s="170">
        <f t="shared" si="1"/>
        <v>43.27</v>
      </c>
      <c r="N66" s="56">
        <f t="shared" si="2"/>
        <v>61.546999999999997</v>
      </c>
    </row>
    <row r="67" spans="1:14" x14ac:dyDescent="0.35">
      <c r="A67" s="32"/>
      <c r="F67" s="124"/>
      <c r="G67" s="54">
        <v>2</v>
      </c>
      <c r="H67" s="89">
        <v>32.76</v>
      </c>
      <c r="I67" s="90">
        <v>67.239999999999995</v>
      </c>
      <c r="J67" s="91">
        <v>0.33850000000000002</v>
      </c>
      <c r="K67" s="91">
        <v>0</v>
      </c>
      <c r="L67" s="171"/>
      <c r="M67" s="170"/>
      <c r="N67" s="56"/>
    </row>
    <row r="68" spans="1:14" x14ac:dyDescent="0.35">
      <c r="A68" s="32"/>
      <c r="F68" s="124"/>
      <c r="G68" s="54">
        <v>3</v>
      </c>
      <c r="H68" s="89">
        <v>38.567</v>
      </c>
      <c r="I68" s="90">
        <v>61.433</v>
      </c>
      <c r="J68" s="91">
        <v>0.111</v>
      </c>
      <c r="K68" s="91">
        <v>3.0999999999999999E-3</v>
      </c>
      <c r="L68" s="171"/>
      <c r="M68" s="170"/>
      <c r="N68" s="56"/>
    </row>
    <row r="69" spans="1:14" x14ac:dyDescent="0.35">
      <c r="A69" s="32"/>
      <c r="F69" s="124"/>
      <c r="G69" s="54">
        <v>4</v>
      </c>
      <c r="H69" s="89">
        <v>41.149000000000001</v>
      </c>
      <c r="I69" s="90">
        <v>58.850999999999999</v>
      </c>
      <c r="J69" s="91">
        <v>6.88E-2</v>
      </c>
      <c r="K69" s="91">
        <v>5.1000000000000004E-3</v>
      </c>
      <c r="L69" s="171"/>
      <c r="M69" s="170"/>
      <c r="N69" s="56"/>
    </row>
    <row r="70" spans="1:14" x14ac:dyDescent="0.35">
      <c r="A70" s="32"/>
      <c r="F70" s="124"/>
      <c r="G70" s="54">
        <v>5</v>
      </c>
      <c r="H70" s="89">
        <v>43.27</v>
      </c>
      <c r="I70" s="90">
        <v>56.73</v>
      </c>
      <c r="J70" s="91">
        <v>4.4600000000000001E-2</v>
      </c>
      <c r="K70" s="91">
        <v>7.4000000000000003E-3</v>
      </c>
      <c r="L70" s="171"/>
      <c r="M70" s="170"/>
      <c r="N70" s="56"/>
    </row>
    <row r="71" spans="1:14" x14ac:dyDescent="0.35">
      <c r="A71" s="32"/>
      <c r="F71" s="124"/>
      <c r="G71" s="54">
        <v>6</v>
      </c>
      <c r="H71" s="89">
        <v>45.771000000000001</v>
      </c>
      <c r="I71" s="90">
        <v>54.228999999999999</v>
      </c>
      <c r="J71" s="91">
        <v>2.63E-2</v>
      </c>
      <c r="K71" s="92">
        <v>1.1599999999999999E-2</v>
      </c>
      <c r="L71" s="171"/>
      <c r="M71" s="170"/>
      <c r="N71" s="56"/>
    </row>
    <row r="72" spans="1:14" x14ac:dyDescent="0.35">
      <c r="A72" s="32"/>
      <c r="F72" s="124"/>
      <c r="G72" s="54">
        <v>7</v>
      </c>
      <c r="H72" s="89">
        <v>59.454999999999998</v>
      </c>
      <c r="I72" s="90">
        <v>40.545000000000002</v>
      </c>
      <c r="J72" s="91">
        <v>5.1000000000000004E-3</v>
      </c>
      <c r="K72" s="91">
        <v>0.14829999999999999</v>
      </c>
      <c r="L72" s="171"/>
      <c r="M72" s="170"/>
      <c r="N72" s="56"/>
    </row>
    <row r="73" spans="1:14" ht="15" thickBot="1" x14ac:dyDescent="0.4">
      <c r="A73" s="33"/>
      <c r="B73" s="34"/>
      <c r="C73" s="34"/>
      <c r="D73" s="86"/>
      <c r="E73" s="34"/>
      <c r="F73" s="125"/>
      <c r="G73" s="106">
        <v>8</v>
      </c>
      <c r="H73" s="107">
        <v>61.546999999999997</v>
      </c>
      <c r="I73" s="107">
        <v>38.453000000000003</v>
      </c>
      <c r="J73" s="108">
        <v>0</v>
      </c>
      <c r="K73" s="108">
        <v>0.2016</v>
      </c>
      <c r="L73" s="171"/>
      <c r="M73" s="170"/>
      <c r="N73" s="56"/>
    </row>
    <row r="74" spans="1:14" x14ac:dyDescent="0.35">
      <c r="A74" s="29" t="s">
        <v>48</v>
      </c>
      <c r="B74" s="30">
        <v>1</v>
      </c>
      <c r="C74" s="102" t="s">
        <v>94</v>
      </c>
      <c r="D74" s="109" t="s">
        <v>109</v>
      </c>
      <c r="E74" s="30">
        <v>36.623333333333335</v>
      </c>
      <c r="F74" s="126">
        <v>183.95420561234849</v>
      </c>
      <c r="G74" s="102">
        <v>1</v>
      </c>
      <c r="H74" s="103">
        <v>31.69</v>
      </c>
      <c r="I74" s="104">
        <v>68.31</v>
      </c>
      <c r="J74" s="105">
        <v>1</v>
      </c>
      <c r="K74" s="105">
        <v>0</v>
      </c>
      <c r="L74" s="171">
        <f t="shared" ref="L74:L130" si="14">H76</f>
        <v>44.835000000000001</v>
      </c>
      <c r="M74" s="170">
        <f t="shared" ref="M74:M130" si="15">H78</f>
        <v>49.494</v>
      </c>
      <c r="N74" s="56">
        <f t="shared" ref="N74:N130" si="16">H81</f>
        <v>64.956000000000003</v>
      </c>
    </row>
    <row r="75" spans="1:14" x14ac:dyDescent="0.35">
      <c r="A75" s="32"/>
      <c r="F75" s="124"/>
      <c r="G75" s="54">
        <v>2</v>
      </c>
      <c r="H75" s="89">
        <v>41.195999999999998</v>
      </c>
      <c r="I75" s="90">
        <v>58.804000000000002</v>
      </c>
      <c r="J75" s="91">
        <v>0.23100000000000001</v>
      </c>
      <c r="K75" s="91">
        <v>0</v>
      </c>
      <c r="L75" s="171"/>
      <c r="M75" s="170"/>
      <c r="N75" s="56"/>
    </row>
    <row r="76" spans="1:14" x14ac:dyDescent="0.35">
      <c r="A76" s="32"/>
      <c r="F76" s="124"/>
      <c r="G76" s="54">
        <v>3</v>
      </c>
      <c r="H76" s="89">
        <v>44.835000000000001</v>
      </c>
      <c r="I76" s="90">
        <v>55.164999999999999</v>
      </c>
      <c r="J76" s="91">
        <v>0.1174</v>
      </c>
      <c r="K76" s="91">
        <v>3.2000000000000002E-3</v>
      </c>
      <c r="L76" s="171"/>
      <c r="M76" s="170"/>
      <c r="N76" s="56"/>
    </row>
    <row r="77" spans="1:14" x14ac:dyDescent="0.35">
      <c r="A77" s="32"/>
      <c r="F77" s="124"/>
      <c r="G77" s="54">
        <v>4</v>
      </c>
      <c r="H77" s="89">
        <v>47.368000000000002</v>
      </c>
      <c r="I77" s="90">
        <v>52.631999999999998</v>
      </c>
      <c r="J77" s="91">
        <v>7.22E-2</v>
      </c>
      <c r="K77" s="91">
        <v>5.3E-3</v>
      </c>
      <c r="L77" s="171"/>
      <c r="M77" s="170"/>
      <c r="N77" s="56"/>
    </row>
    <row r="78" spans="1:14" x14ac:dyDescent="0.35">
      <c r="A78" s="32"/>
      <c r="F78" s="124"/>
      <c r="G78" s="54">
        <v>5</v>
      </c>
      <c r="H78" s="89">
        <v>49.494</v>
      </c>
      <c r="I78" s="90">
        <v>50.506</v>
      </c>
      <c r="J78" s="91">
        <v>4.8899999999999999E-2</v>
      </c>
      <c r="K78" s="91">
        <v>8.0999999999999996E-3</v>
      </c>
      <c r="L78" s="171"/>
      <c r="M78" s="170"/>
      <c r="N78" s="56"/>
    </row>
    <row r="79" spans="1:14" x14ac:dyDescent="0.35">
      <c r="A79" s="32"/>
      <c r="F79" s="124"/>
      <c r="G79" s="54">
        <v>6</v>
      </c>
      <c r="H79" s="89">
        <v>51.908000000000001</v>
      </c>
      <c r="I79" s="90">
        <v>48.091999999999999</v>
      </c>
      <c r="J79" s="91">
        <v>3.2199999999999999E-2</v>
      </c>
      <c r="K79" s="92">
        <v>1.4200000000000001E-2</v>
      </c>
      <c r="L79" s="171"/>
      <c r="M79" s="170"/>
      <c r="N79" s="56"/>
    </row>
    <row r="80" spans="1:14" x14ac:dyDescent="0.35">
      <c r="A80" s="32"/>
      <c r="F80" s="124"/>
      <c r="G80" s="54">
        <v>7</v>
      </c>
      <c r="H80" s="89">
        <v>62.765000000000001</v>
      </c>
      <c r="I80" s="90">
        <v>37.234999999999999</v>
      </c>
      <c r="J80" s="91">
        <v>1.12E-2</v>
      </c>
      <c r="K80" s="91">
        <v>0.129</v>
      </c>
      <c r="L80" s="171"/>
      <c r="M80" s="170"/>
      <c r="N80" s="56"/>
    </row>
    <row r="81" spans="1:14" ht="15" thickBot="1" x14ac:dyDescent="0.4">
      <c r="A81" s="33"/>
      <c r="B81" s="34"/>
      <c r="C81" s="34"/>
      <c r="D81" s="86"/>
      <c r="E81" s="34"/>
      <c r="F81" s="125"/>
      <c r="G81" s="106">
        <v>8</v>
      </c>
      <c r="H81" s="107">
        <v>64.956000000000003</v>
      </c>
      <c r="I81" s="107">
        <v>35.043999999999997</v>
      </c>
      <c r="J81" s="108">
        <v>0</v>
      </c>
      <c r="K81" s="108">
        <v>0.17449999999999999</v>
      </c>
      <c r="L81" s="171"/>
      <c r="M81" s="170"/>
      <c r="N81" s="56"/>
    </row>
    <row r="82" spans="1:14" x14ac:dyDescent="0.35">
      <c r="A82" s="29" t="s">
        <v>48</v>
      </c>
      <c r="B82" s="30">
        <v>1</v>
      </c>
      <c r="C82" s="102" t="s">
        <v>94</v>
      </c>
      <c r="D82" s="109" t="s">
        <v>110</v>
      </c>
      <c r="E82" s="30">
        <v>37.119999999999997</v>
      </c>
      <c r="F82" s="126">
        <v>227.45800241753238</v>
      </c>
      <c r="G82" s="102">
        <v>1</v>
      </c>
      <c r="H82" s="103">
        <v>29.75</v>
      </c>
      <c r="I82" s="104">
        <v>70.25</v>
      </c>
      <c r="J82" s="105">
        <v>1</v>
      </c>
      <c r="K82" s="105">
        <v>0</v>
      </c>
      <c r="L82" s="171">
        <f t="shared" si="14"/>
        <v>45.82</v>
      </c>
      <c r="M82" s="170">
        <f t="shared" si="15"/>
        <v>51.186</v>
      </c>
      <c r="N82" s="56">
        <f t="shared" si="16"/>
        <v>65.305999999999997</v>
      </c>
    </row>
    <row r="83" spans="1:14" x14ac:dyDescent="0.35">
      <c r="A83" s="32"/>
      <c r="F83" s="124"/>
      <c r="G83" s="54">
        <v>2</v>
      </c>
      <c r="H83" s="89">
        <v>39.94</v>
      </c>
      <c r="I83" s="90">
        <v>60.06</v>
      </c>
      <c r="J83" s="91">
        <v>0.26569999999999999</v>
      </c>
      <c r="K83" s="91">
        <v>0</v>
      </c>
      <c r="L83" s="171"/>
      <c r="M83" s="170"/>
      <c r="N83" s="56"/>
    </row>
    <row r="84" spans="1:14" x14ac:dyDescent="0.35">
      <c r="A84" s="32"/>
      <c r="F84" s="124"/>
      <c r="G84" s="54">
        <v>3</v>
      </c>
      <c r="H84" s="89">
        <v>45.82</v>
      </c>
      <c r="I84" s="90">
        <v>54.18</v>
      </c>
      <c r="J84" s="91">
        <v>0.1144</v>
      </c>
      <c r="K84" s="91">
        <v>3.2000000000000002E-3</v>
      </c>
      <c r="L84" s="171"/>
      <c r="M84" s="170"/>
      <c r="N84" s="56"/>
    </row>
    <row r="85" spans="1:14" x14ac:dyDescent="0.35">
      <c r="A85" s="32"/>
      <c r="F85" s="124"/>
      <c r="G85" s="54">
        <v>4</v>
      </c>
      <c r="H85" s="89">
        <v>48.706000000000003</v>
      </c>
      <c r="I85" s="90">
        <v>51.293999999999997</v>
      </c>
      <c r="J85" s="91">
        <v>7.3599999999999999E-2</v>
      </c>
      <c r="K85" s="91">
        <v>5.4000000000000003E-3</v>
      </c>
      <c r="L85" s="171"/>
      <c r="M85" s="170"/>
      <c r="N85" s="56"/>
    </row>
    <row r="86" spans="1:14" x14ac:dyDescent="0.35">
      <c r="A86" s="32"/>
      <c r="F86" s="124"/>
      <c r="G86" s="54">
        <v>5</v>
      </c>
      <c r="H86" s="89">
        <v>51.186</v>
      </c>
      <c r="I86" s="90">
        <v>48.814</v>
      </c>
      <c r="J86" s="91">
        <v>5.2200000000000003E-2</v>
      </c>
      <c r="K86" s="91">
        <v>8.6E-3</v>
      </c>
      <c r="L86" s="171"/>
      <c r="M86" s="170"/>
      <c r="N86" s="56"/>
    </row>
    <row r="87" spans="1:14" x14ac:dyDescent="0.35">
      <c r="A87" s="32"/>
      <c r="F87" s="124"/>
      <c r="G87" s="54">
        <v>6</v>
      </c>
      <c r="H87" s="89">
        <v>54.222999999999999</v>
      </c>
      <c r="I87" s="90">
        <v>45.777000000000001</v>
      </c>
      <c r="J87" s="91">
        <v>3.44E-2</v>
      </c>
      <c r="K87" s="92">
        <v>1.52E-2</v>
      </c>
      <c r="L87" s="171"/>
      <c r="M87" s="170"/>
      <c r="N87" s="56"/>
    </row>
    <row r="88" spans="1:14" x14ac:dyDescent="0.35">
      <c r="A88" s="32"/>
      <c r="F88" s="124"/>
      <c r="G88" s="54">
        <v>7</v>
      </c>
      <c r="H88" s="89">
        <v>63.274999999999999</v>
      </c>
      <c r="I88" s="90">
        <v>36.725000000000001</v>
      </c>
      <c r="J88" s="91">
        <v>2.3E-3</v>
      </c>
      <c r="K88" s="91">
        <v>7.1199999999999999E-2</v>
      </c>
      <c r="L88" s="171"/>
      <c r="M88" s="170"/>
      <c r="N88" s="56"/>
    </row>
    <row r="89" spans="1:14" ht="15" thickBot="1" x14ac:dyDescent="0.4">
      <c r="A89" s="33"/>
      <c r="B89" s="34"/>
      <c r="C89" s="34"/>
      <c r="D89" s="86"/>
      <c r="E89" s="34"/>
      <c r="F89" s="125"/>
      <c r="G89" s="106">
        <v>8</v>
      </c>
      <c r="H89" s="107">
        <v>65.305999999999997</v>
      </c>
      <c r="I89" s="107">
        <v>34.694000000000003</v>
      </c>
      <c r="J89" s="108">
        <v>0</v>
      </c>
      <c r="K89" s="108">
        <v>9.4100000000000003E-2</v>
      </c>
      <c r="L89" s="171"/>
      <c r="M89" s="170"/>
      <c r="N89" s="56"/>
    </row>
    <row r="90" spans="1:14" x14ac:dyDescent="0.35">
      <c r="A90" s="29" t="s">
        <v>48</v>
      </c>
      <c r="B90" s="30">
        <v>1</v>
      </c>
      <c r="C90" s="102" t="s">
        <v>94</v>
      </c>
      <c r="D90" s="109" t="s">
        <v>112</v>
      </c>
      <c r="E90" s="30">
        <v>37.506666666666668</v>
      </c>
      <c r="F90" s="126">
        <v>83.54512341631748</v>
      </c>
      <c r="G90" s="102">
        <v>1</v>
      </c>
      <c r="H90" s="103">
        <v>39.42</v>
      </c>
      <c r="I90" s="104">
        <v>60.58</v>
      </c>
      <c r="J90" s="105">
        <v>1</v>
      </c>
      <c r="K90" s="105">
        <v>0</v>
      </c>
      <c r="L90" s="171">
        <f t="shared" si="14"/>
        <v>50.981999999999999</v>
      </c>
      <c r="M90" s="170">
        <f t="shared" si="15"/>
        <v>54.384</v>
      </c>
      <c r="N90" s="56">
        <f t="shared" si="16"/>
        <v>63.792000000000002</v>
      </c>
    </row>
    <row r="91" spans="1:14" x14ac:dyDescent="0.35">
      <c r="A91" s="32"/>
      <c r="F91" s="124"/>
      <c r="G91" s="54">
        <v>2</v>
      </c>
      <c r="H91" s="89">
        <v>47.276000000000003</v>
      </c>
      <c r="I91" s="90">
        <v>52.723999999999997</v>
      </c>
      <c r="J91" s="91">
        <v>0.1363</v>
      </c>
      <c r="K91" s="91">
        <v>0</v>
      </c>
      <c r="L91" s="171"/>
      <c r="M91" s="170"/>
      <c r="N91" s="56"/>
    </row>
    <row r="92" spans="1:14" x14ac:dyDescent="0.35">
      <c r="A92" s="32"/>
      <c r="F92" s="124"/>
      <c r="G92" s="54">
        <v>3</v>
      </c>
      <c r="H92" s="89">
        <v>50.981999999999999</v>
      </c>
      <c r="I92" s="90">
        <v>49.018000000000001</v>
      </c>
      <c r="J92" s="91">
        <v>5.5800000000000002E-2</v>
      </c>
      <c r="K92" s="91">
        <v>1.5E-3</v>
      </c>
      <c r="L92" s="171"/>
      <c r="M92" s="170"/>
      <c r="N92" s="56"/>
    </row>
    <row r="93" spans="1:14" x14ac:dyDescent="0.35">
      <c r="A93" s="32"/>
      <c r="F93" s="124"/>
      <c r="G93" s="54">
        <v>4</v>
      </c>
      <c r="H93" s="89">
        <v>52.819000000000003</v>
      </c>
      <c r="I93" s="90">
        <v>47.180999999999997</v>
      </c>
      <c r="J93" s="91">
        <v>3.6999999999999998E-2</v>
      </c>
      <c r="K93" s="91">
        <v>2.7000000000000001E-3</v>
      </c>
      <c r="L93" s="171"/>
      <c r="M93" s="170"/>
      <c r="N93" s="56"/>
    </row>
    <row r="94" spans="1:14" x14ac:dyDescent="0.35">
      <c r="A94" s="32"/>
      <c r="F94" s="124"/>
      <c r="G94" s="54">
        <v>5</v>
      </c>
      <c r="H94" s="89">
        <v>54.384</v>
      </c>
      <c r="I94" s="90">
        <v>45.616</v>
      </c>
      <c r="J94" s="91">
        <v>2.6100000000000002E-2</v>
      </c>
      <c r="K94" s="91">
        <v>4.3E-3</v>
      </c>
      <c r="L94" s="171"/>
      <c r="M94" s="170"/>
      <c r="N94" s="56"/>
    </row>
    <row r="95" spans="1:14" x14ac:dyDescent="0.35">
      <c r="A95" s="32"/>
      <c r="F95" s="124"/>
      <c r="G95" s="54">
        <v>6</v>
      </c>
      <c r="H95" s="89">
        <v>56.323999999999998</v>
      </c>
      <c r="I95" s="90">
        <v>43.676000000000002</v>
      </c>
      <c r="J95" s="91">
        <v>1.7500000000000002E-2</v>
      </c>
      <c r="K95" s="92">
        <v>7.7000000000000002E-3</v>
      </c>
      <c r="L95" s="171"/>
      <c r="M95" s="170"/>
      <c r="N95" s="56"/>
    </row>
    <row r="96" spans="1:14" x14ac:dyDescent="0.35">
      <c r="A96" s="32"/>
      <c r="F96" s="124"/>
      <c r="G96" s="54">
        <v>7</v>
      </c>
      <c r="H96" s="89">
        <v>62.511000000000003</v>
      </c>
      <c r="I96" s="90">
        <v>37.488999999999997</v>
      </c>
      <c r="J96" s="91">
        <v>3.5999999999999999E-3</v>
      </c>
      <c r="K96" s="91">
        <v>5.0799999999999998E-2</v>
      </c>
      <c r="L96" s="171"/>
      <c r="M96" s="170"/>
      <c r="N96" s="56"/>
    </row>
    <row r="97" spans="1:14" ht="15" thickBot="1" x14ac:dyDescent="0.4">
      <c r="A97" s="33"/>
      <c r="B97" s="34"/>
      <c r="C97" s="34"/>
      <c r="D97" s="86"/>
      <c r="E97" s="34"/>
      <c r="F97" s="125"/>
      <c r="G97" s="106">
        <v>8</v>
      </c>
      <c r="H97" s="107">
        <v>63.792000000000002</v>
      </c>
      <c r="I97" s="107">
        <v>36.207999999999998</v>
      </c>
      <c r="J97" s="108">
        <v>0</v>
      </c>
      <c r="K97" s="108">
        <v>6.54E-2</v>
      </c>
      <c r="L97" s="171"/>
      <c r="M97" s="170"/>
      <c r="N97" s="56"/>
    </row>
    <row r="98" spans="1:14" x14ac:dyDescent="0.35">
      <c r="A98" s="29" t="s">
        <v>48</v>
      </c>
      <c r="B98" s="30">
        <v>1</v>
      </c>
      <c r="C98" s="102" t="s">
        <v>94</v>
      </c>
      <c r="D98" s="109" t="s">
        <v>114</v>
      </c>
      <c r="E98" s="30">
        <v>36.416666666666664</v>
      </c>
      <c r="F98" s="126">
        <v>61.312337447135924</v>
      </c>
      <c r="G98" s="102">
        <v>1</v>
      </c>
      <c r="H98" s="103">
        <v>52.01</v>
      </c>
      <c r="I98" s="104">
        <v>47.99</v>
      </c>
      <c r="J98" s="105">
        <v>1</v>
      </c>
      <c r="K98" s="105">
        <v>0</v>
      </c>
      <c r="L98" s="171">
        <f t="shared" si="14"/>
        <v>60.412999999999997</v>
      </c>
      <c r="M98" s="170">
        <f t="shared" si="15"/>
        <v>62.820999999999998</v>
      </c>
      <c r="N98" s="56">
        <f t="shared" si="16"/>
        <v>69.099000000000004</v>
      </c>
    </row>
    <row r="99" spans="1:14" x14ac:dyDescent="0.35">
      <c r="A99" s="32"/>
      <c r="F99" s="124"/>
      <c r="G99" s="54">
        <v>2</v>
      </c>
      <c r="H99" s="89">
        <v>57.728999999999999</v>
      </c>
      <c r="I99" s="90">
        <v>42.271000000000001</v>
      </c>
      <c r="J99" s="91">
        <v>0.2235</v>
      </c>
      <c r="K99" s="91">
        <v>0</v>
      </c>
      <c r="L99" s="171"/>
      <c r="M99" s="170"/>
      <c r="N99" s="56"/>
    </row>
    <row r="100" spans="1:14" x14ac:dyDescent="0.35">
      <c r="A100" s="32"/>
      <c r="F100" s="124"/>
      <c r="G100" s="54">
        <v>3</v>
      </c>
      <c r="H100" s="89">
        <v>60.412999999999997</v>
      </c>
      <c r="I100" s="90">
        <v>39.587000000000003</v>
      </c>
      <c r="J100" s="91">
        <v>9.6799999999999997E-2</v>
      </c>
      <c r="K100" s="91">
        <v>2.7000000000000001E-3</v>
      </c>
      <c r="L100" s="171"/>
      <c r="M100" s="170"/>
      <c r="N100" s="56"/>
    </row>
    <row r="101" spans="1:14" x14ac:dyDescent="0.35">
      <c r="A101" s="32"/>
      <c r="F101" s="124"/>
      <c r="G101" s="54">
        <v>4</v>
      </c>
      <c r="H101" s="89">
        <v>61.728999999999999</v>
      </c>
      <c r="I101" s="90">
        <v>38.271000000000001</v>
      </c>
      <c r="J101" s="91">
        <v>6.4500000000000002E-2</v>
      </c>
      <c r="K101" s="91">
        <v>4.7000000000000002E-3</v>
      </c>
      <c r="L101" s="171"/>
      <c r="M101" s="170"/>
      <c r="N101" s="56"/>
    </row>
    <row r="102" spans="1:14" x14ac:dyDescent="0.35">
      <c r="A102" s="32"/>
      <c r="F102" s="124"/>
      <c r="G102" s="54">
        <v>5</v>
      </c>
      <c r="H102" s="89">
        <v>62.820999999999998</v>
      </c>
      <c r="I102" s="90">
        <v>37.179000000000002</v>
      </c>
      <c r="J102" s="91">
        <v>4.7300000000000002E-2</v>
      </c>
      <c r="K102" s="91">
        <v>7.7999999999999996E-3</v>
      </c>
      <c r="L102" s="171"/>
      <c r="M102" s="170"/>
      <c r="N102" s="56"/>
    </row>
    <row r="103" spans="1:14" x14ac:dyDescent="0.35">
      <c r="A103" s="32"/>
      <c r="F103" s="124"/>
      <c r="G103" s="54">
        <v>6</v>
      </c>
      <c r="H103" s="89">
        <v>64.105999999999995</v>
      </c>
      <c r="I103" s="90">
        <v>35.893999999999998</v>
      </c>
      <c r="J103" s="91">
        <v>3.1699999999999999E-2</v>
      </c>
      <c r="K103" s="92">
        <v>1.4E-2</v>
      </c>
      <c r="L103" s="171"/>
      <c r="M103" s="170"/>
      <c r="N103" s="56"/>
    </row>
    <row r="104" spans="1:14" x14ac:dyDescent="0.35">
      <c r="A104" s="32"/>
      <c r="F104" s="124"/>
      <c r="G104" s="54">
        <v>7</v>
      </c>
      <c r="H104" s="89">
        <v>68.412999999999997</v>
      </c>
      <c r="I104" s="90">
        <v>31.587</v>
      </c>
      <c r="J104" s="91">
        <v>8.0999999999999996E-3</v>
      </c>
      <c r="K104" s="91">
        <v>9.2100000000000001E-2</v>
      </c>
      <c r="L104" s="171"/>
      <c r="M104" s="170"/>
      <c r="N104" s="56"/>
    </row>
    <row r="105" spans="1:14" ht="15" thickBot="1" x14ac:dyDescent="0.4">
      <c r="A105" s="111"/>
      <c r="B105" s="112"/>
      <c r="C105" s="112"/>
      <c r="D105" s="113"/>
      <c r="E105" s="112"/>
      <c r="F105" s="127"/>
      <c r="G105" s="114">
        <v>8</v>
      </c>
      <c r="H105" s="115">
        <v>69.099000000000004</v>
      </c>
      <c r="I105" s="115">
        <v>30.901</v>
      </c>
      <c r="J105" s="116">
        <v>0</v>
      </c>
      <c r="K105" s="116">
        <v>0.1206</v>
      </c>
      <c r="L105" s="171"/>
      <c r="M105" s="170"/>
      <c r="N105" s="56"/>
    </row>
    <row r="106" spans="1:14" x14ac:dyDescent="0.35">
      <c r="A106" s="29" t="s">
        <v>48</v>
      </c>
      <c r="B106" s="30">
        <v>1</v>
      </c>
      <c r="C106" s="102" t="s">
        <v>95</v>
      </c>
      <c r="D106" s="109" t="s">
        <v>115</v>
      </c>
      <c r="E106" s="30">
        <v>33.966666666666669</v>
      </c>
      <c r="F106" s="126">
        <v>230.65734242964271</v>
      </c>
      <c r="G106" s="102">
        <v>1</v>
      </c>
      <c r="H106" s="103">
        <v>33.07</v>
      </c>
      <c r="I106" s="104">
        <v>66.930000000000007</v>
      </c>
      <c r="J106" s="105">
        <v>1</v>
      </c>
      <c r="K106" s="105">
        <v>0</v>
      </c>
      <c r="L106" s="171">
        <f t="shared" si="14"/>
        <v>46.45</v>
      </c>
      <c r="M106" s="170">
        <f t="shared" si="15"/>
        <v>50.747</v>
      </c>
      <c r="N106" s="56">
        <f t="shared" si="16"/>
        <v>63.744</v>
      </c>
    </row>
    <row r="107" spans="1:14" x14ac:dyDescent="0.35">
      <c r="A107" s="32"/>
      <c r="F107" s="124"/>
      <c r="G107" s="54">
        <v>2</v>
      </c>
      <c r="H107" s="89">
        <v>40.982999999999997</v>
      </c>
      <c r="I107" s="90">
        <v>59.017000000000003</v>
      </c>
      <c r="J107" s="91">
        <v>0.22159999999999999</v>
      </c>
      <c r="K107" s="91">
        <v>0</v>
      </c>
      <c r="L107" s="171"/>
      <c r="M107" s="170"/>
      <c r="N107" s="56"/>
    </row>
    <row r="108" spans="1:14" x14ac:dyDescent="0.35">
      <c r="A108" s="32"/>
      <c r="F108" s="124"/>
      <c r="G108" s="54">
        <v>3</v>
      </c>
      <c r="H108" s="89">
        <v>46.45</v>
      </c>
      <c r="I108" s="90">
        <v>53.55</v>
      </c>
      <c r="J108" s="91">
        <v>7.1999999999999995E-2</v>
      </c>
      <c r="K108" s="91">
        <v>4.4999999999999997E-3</v>
      </c>
      <c r="L108" s="171"/>
      <c r="M108" s="170"/>
      <c r="N108" s="56"/>
    </row>
    <row r="109" spans="1:14" x14ac:dyDescent="0.35">
      <c r="A109" s="32"/>
      <c r="F109" s="124"/>
      <c r="G109" s="54">
        <v>4</v>
      </c>
      <c r="H109" s="89">
        <v>48.728000000000002</v>
      </c>
      <c r="I109" s="90">
        <v>51.271999999999998</v>
      </c>
      <c r="J109" s="91">
        <v>4.4499999999999998E-2</v>
      </c>
      <c r="K109" s="91">
        <v>7.4000000000000003E-3</v>
      </c>
      <c r="L109" s="171"/>
      <c r="M109" s="170"/>
      <c r="N109" s="56"/>
    </row>
    <row r="110" spans="1:14" x14ac:dyDescent="0.35">
      <c r="A110" s="32"/>
      <c r="F110" s="124"/>
      <c r="G110" s="54">
        <v>5</v>
      </c>
      <c r="H110" s="89">
        <v>50.747</v>
      </c>
      <c r="I110" s="90">
        <v>49.253</v>
      </c>
      <c r="J110" s="91">
        <v>3.0099999999999998E-2</v>
      </c>
      <c r="K110" s="91">
        <v>1.1299999999999999E-2</v>
      </c>
      <c r="L110" s="171"/>
      <c r="M110" s="170"/>
      <c r="N110" s="56"/>
    </row>
    <row r="111" spans="1:14" x14ac:dyDescent="0.35">
      <c r="A111" s="32"/>
      <c r="F111" s="124"/>
      <c r="G111" s="54">
        <v>6</v>
      </c>
      <c r="H111" s="89">
        <v>52.915999999999997</v>
      </c>
      <c r="I111" s="90">
        <v>47.084000000000003</v>
      </c>
      <c r="J111" s="91">
        <v>1.7999999999999999E-2</v>
      </c>
      <c r="K111" s="92">
        <v>1.7999999999999999E-2</v>
      </c>
      <c r="L111" s="171"/>
      <c r="M111" s="170"/>
      <c r="N111" s="56"/>
    </row>
    <row r="112" spans="1:14" x14ac:dyDescent="0.35">
      <c r="A112" s="32"/>
      <c r="F112" s="124"/>
      <c r="G112" s="54">
        <v>7</v>
      </c>
      <c r="H112" s="89">
        <v>62.05</v>
      </c>
      <c r="I112" s="90">
        <v>37.950000000000003</v>
      </c>
      <c r="J112" s="91">
        <v>2.0999999999999999E-3</v>
      </c>
      <c r="K112" s="91">
        <v>0.13980000000000001</v>
      </c>
      <c r="L112" s="171"/>
      <c r="M112" s="170"/>
      <c r="N112" s="56"/>
    </row>
    <row r="113" spans="1:14" ht="15" thickBot="1" x14ac:dyDescent="0.4">
      <c r="A113" s="33"/>
      <c r="B113" s="34"/>
      <c r="C113" s="34"/>
      <c r="D113" s="86"/>
      <c r="E113" s="34"/>
      <c r="F113" s="125"/>
      <c r="G113" s="106">
        <v>8</v>
      </c>
      <c r="H113" s="107">
        <v>63.744</v>
      </c>
      <c r="I113" s="107">
        <v>36.256</v>
      </c>
      <c r="J113" s="108">
        <v>0</v>
      </c>
      <c r="K113" s="108">
        <v>0.18579999999999999</v>
      </c>
      <c r="L113" s="171"/>
      <c r="M113" s="170"/>
      <c r="N113" s="56"/>
    </row>
    <row r="114" spans="1:14" x14ac:dyDescent="0.35">
      <c r="A114" s="36" t="s">
        <v>48</v>
      </c>
      <c r="B114" s="22">
        <v>1</v>
      </c>
      <c r="C114" s="98" t="s">
        <v>95</v>
      </c>
      <c r="D114" s="87" t="s">
        <v>116</v>
      </c>
      <c r="E114" s="22">
        <v>35.673333333333339</v>
      </c>
      <c r="F114" s="128">
        <v>95.075672121604214</v>
      </c>
      <c r="G114" s="98">
        <v>1</v>
      </c>
      <c r="H114" s="99">
        <v>40.86</v>
      </c>
      <c r="I114" s="100">
        <v>59.14</v>
      </c>
      <c r="J114" s="101">
        <v>1</v>
      </c>
      <c r="K114" s="101">
        <v>0</v>
      </c>
      <c r="L114" s="171">
        <f t="shared" si="14"/>
        <v>52.402000000000001</v>
      </c>
      <c r="M114" s="170">
        <f t="shared" si="15"/>
        <v>56.609000000000002</v>
      </c>
      <c r="N114" s="56">
        <f t="shared" si="16"/>
        <v>65.884</v>
      </c>
    </row>
    <row r="115" spans="1:14" x14ac:dyDescent="0.35">
      <c r="A115" s="32"/>
      <c r="F115" s="124"/>
      <c r="G115" s="54">
        <v>2</v>
      </c>
      <c r="H115" s="89">
        <v>48.970999999999997</v>
      </c>
      <c r="I115" s="90">
        <v>51.029000000000003</v>
      </c>
      <c r="J115" s="91">
        <v>0.17680000000000001</v>
      </c>
      <c r="K115" s="91">
        <v>0</v>
      </c>
      <c r="L115" s="171"/>
      <c r="M115" s="170"/>
      <c r="N115" s="56"/>
    </row>
    <row r="116" spans="1:14" x14ac:dyDescent="0.35">
      <c r="A116" s="32"/>
      <c r="F116" s="124"/>
      <c r="G116" s="54">
        <v>3</v>
      </c>
      <c r="H116" s="89">
        <v>52.402000000000001</v>
      </c>
      <c r="I116" s="90">
        <v>47.597999999999999</v>
      </c>
      <c r="J116" s="91">
        <v>8.5199999999999998E-2</v>
      </c>
      <c r="K116" s="91">
        <v>5.3E-3</v>
      </c>
      <c r="L116" s="171"/>
      <c r="M116" s="170"/>
      <c r="N116" s="56"/>
    </row>
    <row r="117" spans="1:14" x14ac:dyDescent="0.35">
      <c r="A117" s="32"/>
      <c r="F117" s="124"/>
      <c r="G117" s="54">
        <v>4</v>
      </c>
      <c r="H117" s="89">
        <v>54.677999999999997</v>
      </c>
      <c r="I117" s="90">
        <v>45.322000000000003</v>
      </c>
      <c r="J117" s="91">
        <v>5.16E-2</v>
      </c>
      <c r="K117" s="91">
        <v>8.6E-3</v>
      </c>
      <c r="L117" s="171"/>
      <c r="M117" s="170"/>
      <c r="N117" s="56"/>
    </row>
    <row r="118" spans="1:14" x14ac:dyDescent="0.35">
      <c r="A118" s="32"/>
      <c r="F118" s="124"/>
      <c r="G118" s="54">
        <v>5</v>
      </c>
      <c r="H118" s="89">
        <v>56.609000000000002</v>
      </c>
      <c r="I118" s="90">
        <v>43.390999999999998</v>
      </c>
      <c r="J118" s="91">
        <v>3.5299999999999998E-2</v>
      </c>
      <c r="K118" s="91">
        <v>1.3299999999999999E-2</v>
      </c>
      <c r="L118" s="171"/>
      <c r="M118" s="170"/>
      <c r="N118" s="56"/>
    </row>
    <row r="119" spans="1:14" x14ac:dyDescent="0.35">
      <c r="A119" s="32"/>
      <c r="F119" s="124"/>
      <c r="G119" s="54">
        <v>6</v>
      </c>
      <c r="H119" s="89">
        <v>58.872</v>
      </c>
      <c r="I119" s="90">
        <v>41.128</v>
      </c>
      <c r="J119" s="91">
        <v>2.2200000000000001E-2</v>
      </c>
      <c r="K119" s="92">
        <v>2.2200000000000001E-2</v>
      </c>
      <c r="L119" s="171"/>
      <c r="M119" s="170"/>
      <c r="N119" s="56"/>
    </row>
    <row r="120" spans="1:14" x14ac:dyDescent="0.35">
      <c r="A120" s="32"/>
      <c r="F120" s="124"/>
      <c r="G120" s="54">
        <v>7</v>
      </c>
      <c r="H120" s="89">
        <v>64.186999999999998</v>
      </c>
      <c r="I120" s="90">
        <v>35.813000000000002</v>
      </c>
      <c r="J120" s="91">
        <v>5.8999999999999999E-3</v>
      </c>
      <c r="K120" s="91">
        <v>7.2099999999999997E-2</v>
      </c>
      <c r="L120" s="171"/>
      <c r="M120" s="170"/>
      <c r="N120" s="56"/>
    </row>
    <row r="121" spans="1:14" ht="15" thickBot="1" x14ac:dyDescent="0.4">
      <c r="A121" s="33"/>
      <c r="B121" s="34"/>
      <c r="C121" s="34"/>
      <c r="D121" s="86"/>
      <c r="E121" s="34"/>
      <c r="F121" s="125"/>
      <c r="G121" s="106">
        <v>8</v>
      </c>
      <c r="H121" s="107">
        <v>65.884</v>
      </c>
      <c r="I121" s="107">
        <v>34.116</v>
      </c>
      <c r="J121" s="108">
        <v>0</v>
      </c>
      <c r="K121" s="108">
        <v>9.4500000000000001E-2</v>
      </c>
      <c r="L121" s="171"/>
      <c r="M121" s="170"/>
      <c r="N121" s="56"/>
    </row>
    <row r="122" spans="1:14" x14ac:dyDescent="0.35">
      <c r="A122" s="29" t="s">
        <v>48</v>
      </c>
      <c r="B122" s="30">
        <v>1</v>
      </c>
      <c r="C122" s="102" t="s">
        <v>95</v>
      </c>
      <c r="D122" s="109" t="s">
        <v>117</v>
      </c>
      <c r="E122" s="30">
        <v>34.669999999999995</v>
      </c>
      <c r="F122" s="126">
        <v>61.056701206760451</v>
      </c>
      <c r="G122" s="102">
        <v>1</v>
      </c>
      <c r="H122" s="103">
        <v>52.2</v>
      </c>
      <c r="I122" s="104">
        <v>47.8</v>
      </c>
      <c r="J122" s="105">
        <v>1</v>
      </c>
      <c r="K122" s="105">
        <v>0</v>
      </c>
      <c r="L122" s="171">
        <f t="shared" si="14"/>
        <v>61.32</v>
      </c>
      <c r="M122" s="170">
        <f t="shared" si="15"/>
        <v>64.451999999999998</v>
      </c>
      <c r="N122" s="56">
        <f t="shared" si="16"/>
        <v>72.078999999999994</v>
      </c>
    </row>
    <row r="123" spans="1:14" x14ac:dyDescent="0.35">
      <c r="A123" s="32"/>
      <c r="F123" s="124"/>
      <c r="G123" s="54">
        <v>2</v>
      </c>
      <c r="H123" s="89">
        <v>58.491</v>
      </c>
      <c r="I123" s="90">
        <v>41.509</v>
      </c>
      <c r="J123" s="91">
        <v>0.19839999999999999</v>
      </c>
      <c r="K123" s="91">
        <v>0</v>
      </c>
      <c r="L123" s="171"/>
      <c r="M123" s="170"/>
      <c r="N123" s="56"/>
    </row>
    <row r="124" spans="1:14" x14ac:dyDescent="0.35">
      <c r="A124" s="32"/>
      <c r="F124" s="124"/>
      <c r="G124" s="54">
        <v>3</v>
      </c>
      <c r="H124" s="89">
        <v>61.32</v>
      </c>
      <c r="I124" s="90">
        <v>38.68</v>
      </c>
      <c r="J124" s="91">
        <v>8.8099999999999998E-2</v>
      </c>
      <c r="K124" s="91">
        <v>5.4999999999999997E-3</v>
      </c>
      <c r="L124" s="171"/>
      <c r="M124" s="170"/>
      <c r="N124" s="56"/>
    </row>
    <row r="125" spans="1:14" x14ac:dyDescent="0.35">
      <c r="A125" s="32"/>
      <c r="F125" s="124"/>
      <c r="G125" s="54">
        <v>4</v>
      </c>
      <c r="H125" s="89">
        <v>63.011000000000003</v>
      </c>
      <c r="I125" s="90">
        <v>36.988999999999997</v>
      </c>
      <c r="J125" s="91">
        <v>5.4699999999999999E-2</v>
      </c>
      <c r="K125" s="91">
        <v>9.1000000000000004E-3</v>
      </c>
      <c r="L125" s="171"/>
      <c r="M125" s="170"/>
      <c r="N125" s="56"/>
    </row>
    <row r="126" spans="1:14" x14ac:dyDescent="0.35">
      <c r="A126" s="32"/>
      <c r="F126" s="124"/>
      <c r="G126" s="54">
        <v>5</v>
      </c>
      <c r="H126" s="89">
        <v>64.451999999999998</v>
      </c>
      <c r="I126" s="90">
        <v>35.548000000000002</v>
      </c>
      <c r="J126" s="91">
        <v>3.6900000000000002E-2</v>
      </c>
      <c r="K126" s="91">
        <v>1.3899999999999999E-2</v>
      </c>
      <c r="L126" s="171"/>
      <c r="M126" s="170"/>
      <c r="N126" s="56"/>
    </row>
    <row r="127" spans="1:14" x14ac:dyDescent="0.35">
      <c r="A127" s="32"/>
      <c r="F127" s="124"/>
      <c r="G127" s="54">
        <v>6</v>
      </c>
      <c r="H127" s="89">
        <v>66.215999999999994</v>
      </c>
      <c r="I127" s="90">
        <v>33.783999999999999</v>
      </c>
      <c r="J127" s="91">
        <v>2.3099999999999999E-2</v>
      </c>
      <c r="K127" s="92">
        <v>2.3199999999999998E-2</v>
      </c>
      <c r="L127" s="171"/>
      <c r="M127" s="170"/>
      <c r="N127" s="56"/>
    </row>
    <row r="128" spans="1:14" x14ac:dyDescent="0.35">
      <c r="A128" s="32"/>
      <c r="F128" s="124"/>
      <c r="G128" s="54">
        <v>7</v>
      </c>
      <c r="H128" s="89">
        <v>70.742000000000004</v>
      </c>
      <c r="I128" s="90">
        <v>29.257999999999999</v>
      </c>
      <c r="J128" s="91">
        <v>6.7999999999999996E-3</v>
      </c>
      <c r="K128" s="91">
        <v>7.5999999999999998E-2</v>
      </c>
      <c r="L128" s="171"/>
      <c r="M128" s="170"/>
      <c r="N128" s="56"/>
    </row>
    <row r="129" spans="1:14" ht="15" thickBot="1" x14ac:dyDescent="0.4">
      <c r="A129" s="33"/>
      <c r="B129" s="34"/>
      <c r="C129" s="34"/>
      <c r="D129" s="86"/>
      <c r="E129" s="34"/>
      <c r="F129" s="125"/>
      <c r="G129" s="106">
        <v>8</v>
      </c>
      <c r="H129" s="107">
        <v>72.078999999999994</v>
      </c>
      <c r="I129" s="107">
        <v>27.920999999999999</v>
      </c>
      <c r="J129" s="108">
        <v>0</v>
      </c>
      <c r="K129" s="108">
        <v>9.8100000000000007E-2</v>
      </c>
      <c r="L129" s="171"/>
      <c r="M129" s="170"/>
      <c r="N129" s="56"/>
    </row>
    <row r="130" spans="1:14" x14ac:dyDescent="0.35">
      <c r="A130" s="29" t="s">
        <v>48</v>
      </c>
      <c r="B130" s="30">
        <v>1</v>
      </c>
      <c r="C130" s="102" t="s">
        <v>95</v>
      </c>
      <c r="D130" s="109" t="s">
        <v>118</v>
      </c>
      <c r="E130" s="30">
        <v>35.686666666666667</v>
      </c>
      <c r="F130" s="126">
        <v>48.235771737599954</v>
      </c>
      <c r="G130" s="102">
        <v>1</v>
      </c>
      <c r="H130" s="103">
        <v>59.72</v>
      </c>
      <c r="I130" s="104">
        <v>40.28</v>
      </c>
      <c r="J130" s="105">
        <v>1</v>
      </c>
      <c r="K130" s="105">
        <v>0</v>
      </c>
      <c r="L130" s="171">
        <f t="shared" si="14"/>
        <v>66.438000000000002</v>
      </c>
      <c r="M130" s="170">
        <f t="shared" si="15"/>
        <v>68.412000000000006</v>
      </c>
      <c r="N130" s="56">
        <f t="shared" si="16"/>
        <v>72.832999999999998</v>
      </c>
    </row>
    <row r="131" spans="1:14" x14ac:dyDescent="0.35">
      <c r="A131" s="32"/>
      <c r="F131" s="124"/>
      <c r="G131" s="54">
        <v>2</v>
      </c>
      <c r="H131" s="89">
        <v>64.284000000000006</v>
      </c>
      <c r="I131" s="90">
        <v>35.716000000000001</v>
      </c>
      <c r="J131" s="91">
        <v>0.14910000000000001</v>
      </c>
      <c r="K131" s="91">
        <v>0</v>
      </c>
      <c r="L131" s="171"/>
      <c r="M131" s="170"/>
      <c r="N131" s="56"/>
    </row>
    <row r="132" spans="1:14" x14ac:dyDescent="0.35">
      <c r="A132" s="32"/>
      <c r="F132" s="124"/>
      <c r="G132" s="54">
        <v>3</v>
      </c>
      <c r="H132" s="89">
        <v>66.438000000000002</v>
      </c>
      <c r="I132" s="90">
        <v>33.561999999999998</v>
      </c>
      <c r="J132" s="91">
        <v>5.8799999999999998E-2</v>
      </c>
      <c r="K132" s="91">
        <v>3.7000000000000002E-3</v>
      </c>
      <c r="L132" s="171"/>
      <c r="M132" s="170"/>
      <c r="N132" s="56"/>
    </row>
    <row r="133" spans="1:14" x14ac:dyDescent="0.35">
      <c r="A133" s="32"/>
      <c r="F133" s="124"/>
      <c r="G133" s="54">
        <v>4</v>
      </c>
      <c r="H133" s="89">
        <v>67.498000000000005</v>
      </c>
      <c r="I133" s="90">
        <v>32.502000000000002</v>
      </c>
      <c r="J133" s="91">
        <v>3.5099999999999999E-2</v>
      </c>
      <c r="K133" s="91">
        <v>5.8999999999999999E-3</v>
      </c>
      <c r="L133" s="171"/>
      <c r="M133" s="170"/>
      <c r="N133" s="56"/>
    </row>
    <row r="134" spans="1:14" x14ac:dyDescent="0.35">
      <c r="A134" s="32"/>
      <c r="F134" s="124"/>
      <c r="G134" s="54">
        <v>5</v>
      </c>
      <c r="H134" s="89">
        <v>68.412000000000006</v>
      </c>
      <c r="I134" s="90">
        <v>31.588000000000001</v>
      </c>
      <c r="J134" s="91">
        <v>2.3099999999999999E-2</v>
      </c>
      <c r="K134" s="91">
        <v>8.6999999999999994E-3</v>
      </c>
      <c r="L134" s="171"/>
      <c r="M134" s="170"/>
      <c r="N134" s="56"/>
    </row>
    <row r="135" spans="1:14" x14ac:dyDescent="0.35">
      <c r="A135" s="32"/>
      <c r="F135" s="124"/>
      <c r="G135" s="54">
        <v>6</v>
      </c>
      <c r="H135" s="89">
        <v>69.497</v>
      </c>
      <c r="I135" s="90">
        <v>30.503</v>
      </c>
      <c r="J135" s="91">
        <v>1.37E-2</v>
      </c>
      <c r="K135" s="92">
        <v>1.38E-2</v>
      </c>
      <c r="L135" s="171"/>
      <c r="M135" s="170"/>
      <c r="N135" s="56"/>
    </row>
    <row r="136" spans="1:14" x14ac:dyDescent="0.35">
      <c r="A136" s="32"/>
      <c r="F136" s="124"/>
      <c r="G136" s="54">
        <v>7</v>
      </c>
      <c r="H136" s="89">
        <v>72.031999999999996</v>
      </c>
      <c r="I136" s="90">
        <v>27.968</v>
      </c>
      <c r="J136" s="91">
        <v>3.2000000000000002E-3</v>
      </c>
      <c r="K136" s="91">
        <v>4.0099999999999997E-2</v>
      </c>
      <c r="L136" s="171"/>
      <c r="M136" s="170"/>
      <c r="N136" s="56"/>
    </row>
    <row r="137" spans="1:14" ht="15" thickBot="1" x14ac:dyDescent="0.4">
      <c r="A137" s="33"/>
      <c r="B137" s="34"/>
      <c r="C137" s="34"/>
      <c r="D137" s="86"/>
      <c r="E137" s="34"/>
      <c r="F137" s="125"/>
      <c r="G137" s="106">
        <v>8</v>
      </c>
      <c r="H137" s="107">
        <v>72.832999999999998</v>
      </c>
      <c r="I137" s="107">
        <v>27.167000000000002</v>
      </c>
      <c r="J137" s="108">
        <v>0</v>
      </c>
      <c r="K137" s="108">
        <v>5.21E-2</v>
      </c>
      <c r="L137" s="171"/>
      <c r="M137" s="170"/>
      <c r="N137" s="56"/>
    </row>
    <row r="138" spans="1:14" x14ac:dyDescent="0.35">
      <c r="A138" s="29" t="s">
        <v>48</v>
      </c>
      <c r="B138" s="30">
        <v>1</v>
      </c>
      <c r="C138" s="102" t="s">
        <v>95</v>
      </c>
      <c r="D138" s="109" t="s">
        <v>119</v>
      </c>
      <c r="E138" s="30">
        <v>34.583333333333336</v>
      </c>
      <c r="F138" s="126">
        <v>532.18746139804023</v>
      </c>
      <c r="G138" s="102">
        <v>1</v>
      </c>
      <c r="H138" s="103">
        <v>29.55</v>
      </c>
      <c r="I138" s="104">
        <v>70.45</v>
      </c>
      <c r="J138" s="105">
        <v>1</v>
      </c>
      <c r="K138" s="105">
        <v>0</v>
      </c>
      <c r="L138" s="171">
        <f t="shared" ref="L138:L194" si="17">H140</f>
        <v>45.204999999999998</v>
      </c>
      <c r="M138" s="170">
        <f t="shared" ref="M138:M194" si="18">H142</f>
        <v>50.996000000000002</v>
      </c>
      <c r="N138" s="56">
        <f t="shared" ref="N138:N194" si="19">H145</f>
        <v>63.726999999999997</v>
      </c>
    </row>
    <row r="139" spans="1:14" x14ac:dyDescent="0.35">
      <c r="A139" s="32"/>
      <c r="F139" s="124"/>
      <c r="G139" s="54">
        <v>2</v>
      </c>
      <c r="H139" s="89">
        <v>37.223999999999997</v>
      </c>
      <c r="I139" s="90">
        <v>62.776000000000003</v>
      </c>
      <c r="J139" s="91">
        <v>0.36919999999999997</v>
      </c>
      <c r="K139" s="91">
        <v>0</v>
      </c>
      <c r="L139" s="171"/>
      <c r="M139" s="170"/>
      <c r="N139" s="56"/>
    </row>
    <row r="140" spans="1:14" x14ac:dyDescent="0.35">
      <c r="A140" s="32"/>
      <c r="F140" s="124"/>
      <c r="G140" s="54">
        <v>3</v>
      </c>
      <c r="H140" s="89">
        <v>45.204999999999998</v>
      </c>
      <c r="I140" s="90">
        <v>54.795000000000002</v>
      </c>
      <c r="J140" s="91">
        <v>0.11799999999999999</v>
      </c>
      <c r="K140" s="91">
        <v>7.4000000000000003E-3</v>
      </c>
      <c r="L140" s="171"/>
      <c r="M140" s="170"/>
      <c r="N140" s="56"/>
    </row>
    <row r="141" spans="1:14" x14ac:dyDescent="0.35">
      <c r="A141" s="32"/>
      <c r="F141" s="124"/>
      <c r="G141" s="54">
        <v>4</v>
      </c>
      <c r="H141" s="89">
        <v>48.475000000000001</v>
      </c>
      <c r="I141" s="90">
        <v>51.524999999999999</v>
      </c>
      <c r="J141" s="91">
        <v>7.3400000000000007E-2</v>
      </c>
      <c r="K141" s="91">
        <v>1.23E-2</v>
      </c>
      <c r="L141" s="171"/>
      <c r="M141" s="170"/>
      <c r="N141" s="56"/>
    </row>
    <row r="142" spans="1:14" x14ac:dyDescent="0.35">
      <c r="A142" s="32"/>
      <c r="F142" s="124"/>
      <c r="G142" s="54">
        <v>5</v>
      </c>
      <c r="H142" s="89">
        <v>50.996000000000002</v>
      </c>
      <c r="I142" s="90">
        <v>49.003999999999998</v>
      </c>
      <c r="J142" s="91">
        <v>5.0500000000000003E-2</v>
      </c>
      <c r="K142" s="91">
        <v>1.9E-2</v>
      </c>
      <c r="L142" s="171"/>
      <c r="M142" s="170"/>
      <c r="N142" s="56"/>
    </row>
    <row r="143" spans="1:14" x14ac:dyDescent="0.35">
      <c r="A143" s="32"/>
      <c r="F143" s="124"/>
      <c r="G143" s="54">
        <v>6</v>
      </c>
      <c r="H143" s="89">
        <v>53.648000000000003</v>
      </c>
      <c r="I143" s="90">
        <v>46.351999999999997</v>
      </c>
      <c r="J143" s="91">
        <v>3.1399999999999997E-2</v>
      </c>
      <c r="K143" s="92">
        <v>3.15E-2</v>
      </c>
      <c r="L143" s="171"/>
      <c r="M143" s="170"/>
      <c r="N143" s="56"/>
    </row>
    <row r="144" spans="1:14" x14ac:dyDescent="0.35">
      <c r="A144" s="32"/>
      <c r="F144" s="124"/>
      <c r="G144" s="54">
        <v>7</v>
      </c>
      <c r="H144" s="89">
        <v>61.698999999999998</v>
      </c>
      <c r="I144" s="90">
        <v>38.301000000000002</v>
      </c>
      <c r="J144" s="91">
        <v>7.6E-3</v>
      </c>
      <c r="K144" s="91">
        <v>0.12690000000000001</v>
      </c>
      <c r="L144" s="171"/>
      <c r="M144" s="170"/>
      <c r="N144" s="56"/>
    </row>
    <row r="145" spans="1:14" ht="15" thickBot="1" x14ac:dyDescent="0.4">
      <c r="A145" s="33"/>
      <c r="B145" s="34"/>
      <c r="C145" s="34"/>
      <c r="D145" s="86"/>
      <c r="E145" s="34"/>
      <c r="F145" s="125"/>
      <c r="G145" s="106">
        <v>8</v>
      </c>
      <c r="H145" s="107">
        <v>63.726999999999997</v>
      </c>
      <c r="I145" s="107">
        <v>36.273000000000003</v>
      </c>
      <c r="J145" s="108">
        <v>0</v>
      </c>
      <c r="K145" s="108">
        <v>0.16420000000000001</v>
      </c>
      <c r="L145" s="171"/>
      <c r="M145" s="170"/>
      <c r="N145" s="56"/>
    </row>
    <row r="146" spans="1:14" x14ac:dyDescent="0.35">
      <c r="A146" s="29" t="s">
        <v>48</v>
      </c>
      <c r="B146" s="30">
        <v>2</v>
      </c>
      <c r="C146" s="102" t="s">
        <v>91</v>
      </c>
      <c r="D146" s="109" t="s">
        <v>120</v>
      </c>
      <c r="E146" s="30">
        <v>36.583333333333336</v>
      </c>
      <c r="F146" s="126">
        <v>5.415081042671031</v>
      </c>
      <c r="G146" s="102">
        <v>1</v>
      </c>
      <c r="H146" s="103">
        <v>70.069999999999993</v>
      </c>
      <c r="I146" s="104">
        <v>29.93</v>
      </c>
      <c r="J146" s="105">
        <v>1</v>
      </c>
      <c r="K146" s="105">
        <v>0</v>
      </c>
      <c r="L146" s="171">
        <f t="shared" si="17"/>
        <v>73.724000000000004</v>
      </c>
      <c r="M146" s="170">
        <f t="shared" si="18"/>
        <v>74.536000000000001</v>
      </c>
      <c r="N146" s="56">
        <f t="shared" si="19"/>
        <v>77.269000000000005</v>
      </c>
    </row>
    <row r="147" spans="1:14" x14ac:dyDescent="0.35">
      <c r="A147" s="32"/>
      <c r="F147" s="124"/>
      <c r="G147" s="54">
        <v>2</v>
      </c>
      <c r="H147" s="89">
        <v>72.326999999999998</v>
      </c>
      <c r="I147" s="90">
        <v>27.672999999999998</v>
      </c>
      <c r="J147" s="91">
        <v>0.16813</v>
      </c>
      <c r="K147" s="91">
        <v>0</v>
      </c>
      <c r="L147" s="171"/>
      <c r="M147" s="170"/>
      <c r="N147" s="56"/>
    </row>
    <row r="148" spans="1:14" x14ac:dyDescent="0.35">
      <c r="A148" s="32"/>
      <c r="F148" s="124"/>
      <c r="G148" s="54">
        <v>3</v>
      </c>
      <c r="H148" s="89">
        <v>73.724000000000004</v>
      </c>
      <c r="I148" s="90">
        <v>26.276</v>
      </c>
      <c r="J148" s="91">
        <v>3.9010000000000003E-2</v>
      </c>
      <c r="K148" s="91">
        <v>2.3900000000000002E-3</v>
      </c>
      <c r="L148" s="171"/>
      <c r="M148" s="170"/>
      <c r="N148" s="56"/>
    </row>
    <row r="149" spans="1:14" x14ac:dyDescent="0.35">
      <c r="A149" s="32"/>
      <c r="F149" s="124"/>
      <c r="G149" s="54">
        <v>4</v>
      </c>
      <c r="H149" s="89">
        <v>74.19</v>
      </c>
      <c r="I149" s="90">
        <v>25.81</v>
      </c>
      <c r="J149" s="91">
        <v>2.383E-2</v>
      </c>
      <c r="K149" s="91">
        <v>3.8899999999999998E-3</v>
      </c>
      <c r="L149" s="171"/>
      <c r="M149" s="170"/>
      <c r="N149" s="56"/>
    </row>
    <row r="150" spans="1:14" x14ac:dyDescent="0.35">
      <c r="A150" s="32"/>
      <c r="F150" s="124"/>
      <c r="G150" s="54">
        <v>5</v>
      </c>
      <c r="H150" s="89">
        <v>74.536000000000001</v>
      </c>
      <c r="I150" s="90">
        <v>25.463999999999999</v>
      </c>
      <c r="J150" s="91">
        <v>1.652E-2</v>
      </c>
      <c r="K150" s="91">
        <v>6.0699999999999999E-3</v>
      </c>
      <c r="L150" s="171"/>
      <c r="M150" s="170"/>
      <c r="N150" s="56"/>
    </row>
    <row r="151" spans="1:14" x14ac:dyDescent="0.35">
      <c r="A151" s="32"/>
      <c r="F151" s="124"/>
      <c r="G151" s="54">
        <v>6</v>
      </c>
      <c r="H151" s="89">
        <v>74.995000000000005</v>
      </c>
      <c r="I151" s="90">
        <v>25.004999999999999</v>
      </c>
      <c r="J151" s="91">
        <v>1.089E-2</v>
      </c>
      <c r="K151" s="92">
        <v>1.0670000000000001E-2</v>
      </c>
      <c r="L151" s="171"/>
      <c r="M151" s="170"/>
      <c r="N151" s="56"/>
    </row>
    <row r="152" spans="1:14" x14ac:dyDescent="0.35">
      <c r="A152" s="32"/>
      <c r="F152" s="124"/>
      <c r="G152" s="54">
        <v>7</v>
      </c>
      <c r="H152" s="89">
        <v>76.869</v>
      </c>
      <c r="I152" s="90">
        <v>23.131</v>
      </c>
      <c r="J152" s="91">
        <v>3.0999999999999999E-3</v>
      </c>
      <c r="K152" s="91">
        <v>7.6799999999999993E-2</v>
      </c>
      <c r="L152" s="171"/>
      <c r="M152" s="170"/>
      <c r="N152" s="56"/>
    </row>
    <row r="153" spans="1:14" ht="15" thickBot="1" x14ac:dyDescent="0.4">
      <c r="A153" s="33"/>
      <c r="B153" s="34"/>
      <c r="C153" s="34"/>
      <c r="D153" s="86"/>
      <c r="E153" s="34"/>
      <c r="F153" s="125"/>
      <c r="G153" s="106">
        <v>8</v>
      </c>
      <c r="H153" s="107">
        <v>77.269000000000005</v>
      </c>
      <c r="I153" s="107">
        <v>22.731000000000002</v>
      </c>
      <c r="J153" s="108">
        <v>0</v>
      </c>
      <c r="K153" s="108">
        <v>9.6390000000000003E-2</v>
      </c>
      <c r="L153" s="171"/>
      <c r="M153" s="170"/>
      <c r="N153" s="56"/>
    </row>
    <row r="154" spans="1:14" x14ac:dyDescent="0.35">
      <c r="A154" s="29" t="s">
        <v>48</v>
      </c>
      <c r="B154" s="30">
        <v>2</v>
      </c>
      <c r="C154" s="102" t="s">
        <v>91</v>
      </c>
      <c r="D154" s="109" t="s">
        <v>121</v>
      </c>
      <c r="E154" s="30">
        <v>36.286666666666662</v>
      </c>
      <c r="F154" s="126">
        <v>48.069905473668086</v>
      </c>
      <c r="G154" s="102">
        <v>1</v>
      </c>
      <c r="H154" s="103">
        <v>44.68</v>
      </c>
      <c r="I154" s="104">
        <v>55.32</v>
      </c>
      <c r="J154" s="105">
        <v>1</v>
      </c>
      <c r="K154" s="105">
        <v>0</v>
      </c>
      <c r="L154" s="171">
        <f t="shared" si="17"/>
        <v>55.637999999999998</v>
      </c>
      <c r="M154" s="170">
        <f t="shared" si="18"/>
        <v>59.204999999999998</v>
      </c>
      <c r="N154" s="56">
        <f t="shared" si="19"/>
        <v>67.474999999999994</v>
      </c>
    </row>
    <row r="155" spans="1:14" x14ac:dyDescent="0.35">
      <c r="A155" s="32"/>
      <c r="F155" s="124"/>
      <c r="G155" s="54">
        <v>2</v>
      </c>
      <c r="H155" s="89">
        <v>52.515000000000001</v>
      </c>
      <c r="I155" s="90">
        <v>47.484999999999999</v>
      </c>
      <c r="J155" s="91">
        <v>0.14130000000000001</v>
      </c>
      <c r="K155" s="91">
        <v>0</v>
      </c>
      <c r="L155" s="171"/>
      <c r="M155" s="170"/>
      <c r="N155" s="56"/>
    </row>
    <row r="156" spans="1:14" x14ac:dyDescent="0.35">
      <c r="A156" s="32"/>
      <c r="F156" s="124"/>
      <c r="G156" s="54">
        <v>3</v>
      </c>
      <c r="H156" s="89">
        <v>55.637999999999998</v>
      </c>
      <c r="I156" s="90">
        <v>44.362000000000002</v>
      </c>
      <c r="J156" s="91">
        <v>6.4100000000000004E-2</v>
      </c>
      <c r="K156" s="91">
        <v>3.8999999999999998E-3</v>
      </c>
      <c r="L156" s="171"/>
      <c r="M156" s="170"/>
      <c r="N156" s="56"/>
    </row>
    <row r="157" spans="1:14" x14ac:dyDescent="0.35">
      <c r="A157" s="32"/>
      <c r="F157" s="124"/>
      <c r="G157" s="54">
        <v>4</v>
      </c>
      <c r="H157" s="89">
        <v>57.500999999999998</v>
      </c>
      <c r="I157" s="90">
        <v>42.499000000000002</v>
      </c>
      <c r="J157" s="91">
        <v>3.9199999999999999E-2</v>
      </c>
      <c r="K157" s="91">
        <v>6.4000000000000003E-3</v>
      </c>
      <c r="L157" s="171"/>
      <c r="M157" s="170"/>
      <c r="N157" s="56"/>
    </row>
    <row r="158" spans="1:14" x14ac:dyDescent="0.35">
      <c r="A158" s="32"/>
      <c r="F158" s="124"/>
      <c r="G158" s="54">
        <v>5</v>
      </c>
      <c r="H158" s="89">
        <v>59.204999999999998</v>
      </c>
      <c r="I158" s="90">
        <v>40.795000000000002</v>
      </c>
      <c r="J158" s="91">
        <v>2.6100000000000002E-2</v>
      </c>
      <c r="K158" s="91">
        <v>9.5999999999999992E-3</v>
      </c>
      <c r="L158" s="171"/>
      <c r="M158" s="170"/>
      <c r="N158" s="56"/>
    </row>
    <row r="159" spans="1:14" x14ac:dyDescent="0.35">
      <c r="A159" s="32"/>
      <c r="F159" s="124"/>
      <c r="G159" s="54">
        <v>6</v>
      </c>
      <c r="H159" s="89">
        <v>60.968000000000004</v>
      </c>
      <c r="I159" s="90">
        <v>39.031999999999996</v>
      </c>
      <c r="J159" s="91">
        <v>1.6199999999999999E-2</v>
      </c>
      <c r="K159" s="92">
        <v>1.5900000000000001E-2</v>
      </c>
      <c r="L159" s="171"/>
      <c r="M159" s="170"/>
      <c r="N159" s="56"/>
    </row>
    <row r="160" spans="1:14" x14ac:dyDescent="0.35">
      <c r="A160" s="32"/>
      <c r="F160" s="124"/>
      <c r="G160" s="54">
        <v>7</v>
      </c>
      <c r="H160" s="89">
        <v>65.847999999999999</v>
      </c>
      <c r="I160" s="90">
        <v>34.152000000000001</v>
      </c>
      <c r="J160" s="91">
        <v>2.5000000000000001E-3</v>
      </c>
      <c r="K160" s="91">
        <v>6.1400000000000003E-2</v>
      </c>
      <c r="L160" s="171"/>
      <c r="M160" s="170"/>
      <c r="N160" s="56"/>
    </row>
    <row r="161" spans="1:14" ht="15" thickBot="1" x14ac:dyDescent="0.4">
      <c r="A161" s="33"/>
      <c r="B161" s="34"/>
      <c r="C161" s="34"/>
      <c r="D161" s="86"/>
      <c r="E161" s="34"/>
      <c r="F161" s="125"/>
      <c r="G161" s="106">
        <v>8</v>
      </c>
      <c r="H161" s="107">
        <v>67.474999999999994</v>
      </c>
      <c r="I161" s="107">
        <v>32.524999999999999</v>
      </c>
      <c r="J161" s="108">
        <v>0</v>
      </c>
      <c r="K161" s="108">
        <v>8.1900000000000001E-2</v>
      </c>
      <c r="L161" s="171"/>
      <c r="M161" s="170"/>
      <c r="N161" s="56"/>
    </row>
    <row r="162" spans="1:14" x14ac:dyDescent="0.35">
      <c r="A162" s="29" t="s">
        <v>48</v>
      </c>
      <c r="B162" s="30">
        <v>2</v>
      </c>
      <c r="C162" s="102" t="s">
        <v>91</v>
      </c>
      <c r="D162" s="109" t="s">
        <v>122</v>
      </c>
      <c r="E162" s="30">
        <v>36.520000000000003</v>
      </c>
      <c r="F162" s="126">
        <v>6.2641291518623952</v>
      </c>
      <c r="G162" s="102">
        <v>1</v>
      </c>
      <c r="H162" s="103">
        <v>66.400000000000006</v>
      </c>
      <c r="I162" s="104">
        <v>33.6</v>
      </c>
      <c r="J162" s="105">
        <v>1</v>
      </c>
      <c r="K162" s="105">
        <v>0</v>
      </c>
      <c r="L162" s="171">
        <f t="shared" si="17"/>
        <v>70.896000000000001</v>
      </c>
      <c r="M162" s="170">
        <f t="shared" si="18"/>
        <v>72.106999999999999</v>
      </c>
      <c r="N162" s="56">
        <f t="shared" si="19"/>
        <v>75.671000000000006</v>
      </c>
    </row>
    <row r="163" spans="1:14" x14ac:dyDescent="0.35">
      <c r="A163" s="32"/>
      <c r="F163" s="124"/>
      <c r="G163" s="54">
        <v>2</v>
      </c>
      <c r="H163" s="89">
        <v>69.667000000000002</v>
      </c>
      <c r="I163" s="90">
        <v>30.332999999999998</v>
      </c>
      <c r="J163" s="91">
        <v>0.14335999999999999</v>
      </c>
      <c r="K163" s="91">
        <v>0</v>
      </c>
      <c r="L163" s="171"/>
      <c r="M163" s="170"/>
      <c r="N163" s="56"/>
    </row>
    <row r="164" spans="1:14" x14ac:dyDescent="0.35">
      <c r="A164" s="32"/>
      <c r="F164" s="124"/>
      <c r="G164" s="54">
        <v>3</v>
      </c>
      <c r="H164" s="89">
        <v>70.896000000000001</v>
      </c>
      <c r="I164" s="90">
        <v>29.103999999999999</v>
      </c>
      <c r="J164" s="91">
        <v>6.4439999999999997E-2</v>
      </c>
      <c r="K164" s="91">
        <v>3.9500000000000004E-3</v>
      </c>
      <c r="L164" s="171"/>
      <c r="M164" s="170"/>
      <c r="N164" s="56"/>
    </row>
    <row r="165" spans="1:14" x14ac:dyDescent="0.35">
      <c r="A165" s="32"/>
      <c r="F165" s="124"/>
      <c r="G165" s="54">
        <v>4</v>
      </c>
      <c r="H165" s="89">
        <v>71.578999999999994</v>
      </c>
      <c r="I165" s="90">
        <v>28.420999999999999</v>
      </c>
      <c r="J165" s="91">
        <v>4.1669999999999999E-2</v>
      </c>
      <c r="K165" s="91">
        <v>6.8100000000000001E-3</v>
      </c>
      <c r="L165" s="171"/>
      <c r="M165" s="170"/>
      <c r="N165" s="56"/>
    </row>
    <row r="166" spans="1:14" x14ac:dyDescent="0.35">
      <c r="A166" s="32"/>
      <c r="F166" s="124"/>
      <c r="G166" s="54">
        <v>5</v>
      </c>
      <c r="H166" s="89">
        <v>72.106999999999999</v>
      </c>
      <c r="I166" s="90">
        <v>27.893000000000001</v>
      </c>
      <c r="J166" s="91">
        <v>2.9669999999999998E-2</v>
      </c>
      <c r="K166" s="91">
        <v>1.091E-2</v>
      </c>
      <c r="L166" s="171"/>
      <c r="M166" s="170"/>
      <c r="N166" s="56"/>
    </row>
    <row r="167" spans="1:14" x14ac:dyDescent="0.35">
      <c r="A167" s="32"/>
      <c r="F167" s="124"/>
      <c r="G167" s="54">
        <v>6</v>
      </c>
      <c r="H167" s="89">
        <v>72.739000000000004</v>
      </c>
      <c r="I167" s="90">
        <v>27.260999999999999</v>
      </c>
      <c r="J167" s="91">
        <v>1.9120000000000002E-2</v>
      </c>
      <c r="K167" s="92">
        <v>1.8749999999999999E-2</v>
      </c>
      <c r="L167" s="171"/>
      <c r="M167" s="170"/>
      <c r="N167" s="56"/>
    </row>
    <row r="168" spans="1:14" x14ac:dyDescent="0.35">
      <c r="A168" s="32"/>
      <c r="F168" s="124"/>
      <c r="G168" s="54">
        <v>7</v>
      </c>
      <c r="H168" s="89">
        <v>75.075999999999993</v>
      </c>
      <c r="I168" s="90">
        <v>24.923999999999999</v>
      </c>
      <c r="J168" s="91">
        <v>4.1999999999999997E-3</v>
      </c>
      <c r="K168" s="91">
        <v>7.1470000000000006E-2</v>
      </c>
      <c r="L168" s="171"/>
      <c r="M168" s="170"/>
      <c r="N168" s="56"/>
    </row>
    <row r="169" spans="1:14" ht="15" thickBot="1" x14ac:dyDescent="0.4">
      <c r="A169" s="33"/>
      <c r="B169" s="34"/>
      <c r="C169" s="34"/>
      <c r="D169" s="86"/>
      <c r="E169" s="34"/>
      <c r="F169" s="125"/>
      <c r="G169" s="106">
        <v>8</v>
      </c>
      <c r="H169" s="107">
        <v>75.671000000000006</v>
      </c>
      <c r="I169" s="107">
        <v>24.329000000000001</v>
      </c>
      <c r="J169" s="108">
        <v>0</v>
      </c>
      <c r="K169" s="108">
        <v>9.078E-2</v>
      </c>
      <c r="L169" s="171"/>
      <c r="M169" s="170"/>
      <c r="N169" s="56"/>
    </row>
    <row r="170" spans="1:14" x14ac:dyDescent="0.35">
      <c r="A170" s="29" t="s">
        <v>48</v>
      </c>
      <c r="B170" s="30">
        <v>2</v>
      </c>
      <c r="C170" s="102" t="s">
        <v>96</v>
      </c>
      <c r="D170" s="109" t="s">
        <v>111</v>
      </c>
      <c r="E170" s="30">
        <v>32.483333333333334</v>
      </c>
      <c r="F170" s="126">
        <v>32.790119076216868</v>
      </c>
      <c r="G170" s="102">
        <v>1</v>
      </c>
      <c r="H170" s="103">
        <v>54.49</v>
      </c>
      <c r="I170" s="104">
        <v>45.51</v>
      </c>
      <c r="J170" s="105">
        <v>1</v>
      </c>
      <c r="K170" s="105">
        <v>0</v>
      </c>
      <c r="L170" s="171">
        <f t="shared" si="17"/>
        <v>64.233000000000004</v>
      </c>
      <c r="M170" s="170">
        <f t="shared" si="18"/>
        <v>66.715000000000003</v>
      </c>
      <c r="N170" s="56">
        <f t="shared" si="19"/>
        <v>71.010999999999996</v>
      </c>
    </row>
    <row r="171" spans="1:14" x14ac:dyDescent="0.35">
      <c r="A171" s="32"/>
      <c r="F171" s="124"/>
      <c r="G171" s="54">
        <v>2</v>
      </c>
      <c r="H171" s="89">
        <v>60.183999999999997</v>
      </c>
      <c r="I171" s="90">
        <v>39.816000000000003</v>
      </c>
      <c r="J171" s="91">
        <v>0.24060000000000001</v>
      </c>
      <c r="K171" s="91">
        <v>0</v>
      </c>
      <c r="L171" s="171"/>
      <c r="M171" s="170"/>
      <c r="N171" s="56"/>
    </row>
    <row r="172" spans="1:14" x14ac:dyDescent="0.35">
      <c r="A172" s="32"/>
      <c r="F172" s="124"/>
      <c r="G172" s="54">
        <v>3</v>
      </c>
      <c r="H172" s="89">
        <v>64.233000000000004</v>
      </c>
      <c r="I172" s="90">
        <v>35.767000000000003</v>
      </c>
      <c r="J172" s="91">
        <v>6.4000000000000001E-2</v>
      </c>
      <c r="K172" s="91">
        <v>7.4999999999999997E-3</v>
      </c>
      <c r="L172" s="171"/>
      <c r="M172" s="170"/>
      <c r="N172" s="56"/>
    </row>
    <row r="173" spans="1:14" x14ac:dyDescent="0.35">
      <c r="A173" s="32"/>
      <c r="F173" s="124"/>
      <c r="G173" s="54">
        <v>4</v>
      </c>
      <c r="H173" s="89">
        <v>65.683000000000007</v>
      </c>
      <c r="I173" s="90">
        <v>34.317</v>
      </c>
      <c r="J173" s="91">
        <v>3.8800000000000001E-2</v>
      </c>
      <c r="K173" s="91">
        <v>1.21E-2</v>
      </c>
      <c r="L173" s="171"/>
      <c r="M173" s="170"/>
      <c r="N173" s="56"/>
    </row>
    <row r="174" spans="1:14" x14ac:dyDescent="0.35">
      <c r="A174" s="32"/>
      <c r="F174" s="124"/>
      <c r="G174" s="54">
        <v>5</v>
      </c>
      <c r="H174" s="89">
        <v>66.715000000000003</v>
      </c>
      <c r="I174" s="90">
        <v>33.284999999999997</v>
      </c>
      <c r="J174" s="91">
        <v>2.52E-2</v>
      </c>
      <c r="K174" s="91">
        <v>1.78E-2</v>
      </c>
      <c r="L174" s="171"/>
      <c r="M174" s="170"/>
      <c r="N174" s="56"/>
    </row>
    <row r="175" spans="1:14" x14ac:dyDescent="0.35">
      <c r="A175" s="32"/>
      <c r="F175" s="124"/>
      <c r="G175" s="54">
        <v>6</v>
      </c>
      <c r="H175" s="89">
        <v>67.912000000000006</v>
      </c>
      <c r="I175" s="90">
        <v>32.088000000000001</v>
      </c>
      <c r="J175" s="91">
        <v>1.5100000000000001E-2</v>
      </c>
      <c r="K175" s="92">
        <v>2.8400000000000002E-2</v>
      </c>
      <c r="L175" s="171"/>
      <c r="M175" s="170"/>
      <c r="N175" s="56"/>
    </row>
    <row r="176" spans="1:14" x14ac:dyDescent="0.35">
      <c r="A176" s="32"/>
      <c r="F176" s="124"/>
      <c r="G176" s="54">
        <v>7</v>
      </c>
      <c r="H176" s="89">
        <v>70.144000000000005</v>
      </c>
      <c r="I176" s="90">
        <v>29.856000000000002</v>
      </c>
      <c r="J176" s="91">
        <v>3.5999999999999999E-3</v>
      </c>
      <c r="K176" s="91">
        <v>6.5299999999999997E-2</v>
      </c>
      <c r="L176" s="171"/>
      <c r="M176" s="170"/>
      <c r="N176" s="56"/>
    </row>
    <row r="177" spans="1:14" ht="15" thickBot="1" x14ac:dyDescent="0.4">
      <c r="A177" s="33"/>
      <c r="B177" s="34"/>
      <c r="C177" s="34"/>
      <c r="D177" s="86"/>
      <c r="E177" s="34"/>
      <c r="F177" s="125"/>
      <c r="G177" s="106">
        <v>8</v>
      </c>
      <c r="H177" s="107">
        <v>71.010999999999996</v>
      </c>
      <c r="I177" s="107">
        <v>28.989000000000001</v>
      </c>
      <c r="J177" s="108">
        <v>0</v>
      </c>
      <c r="K177" s="108">
        <v>8.7999999999999995E-2</v>
      </c>
      <c r="L177" s="171"/>
      <c r="M177" s="170"/>
      <c r="N177" s="56"/>
    </row>
    <row r="178" spans="1:14" x14ac:dyDescent="0.35">
      <c r="A178" s="29" t="s">
        <v>48</v>
      </c>
      <c r="B178" s="30">
        <v>2</v>
      </c>
      <c r="C178" s="102" t="s">
        <v>96</v>
      </c>
      <c r="D178" s="109" t="s">
        <v>113</v>
      </c>
      <c r="E178" s="30">
        <v>32.786666666666669</v>
      </c>
      <c r="F178" s="126">
        <v>76.31900889998262</v>
      </c>
      <c r="G178" s="102">
        <v>1</v>
      </c>
      <c r="H178" s="103">
        <v>41.7</v>
      </c>
      <c r="I178" s="104">
        <v>58.3</v>
      </c>
      <c r="J178" s="105">
        <v>1</v>
      </c>
      <c r="K178" s="105">
        <v>0</v>
      </c>
      <c r="L178" s="171">
        <f t="shared" si="17"/>
        <v>53.316000000000003</v>
      </c>
      <c r="M178" s="170">
        <f t="shared" si="18"/>
        <v>57.311999999999998</v>
      </c>
      <c r="N178" s="56">
        <f t="shared" si="19"/>
        <v>65.998999999999995</v>
      </c>
    </row>
    <row r="179" spans="1:14" x14ac:dyDescent="0.35">
      <c r="A179" s="32"/>
      <c r="F179" s="124"/>
      <c r="G179" s="54">
        <v>2</v>
      </c>
      <c r="H179" s="89">
        <v>48.976999999999997</v>
      </c>
      <c r="I179" s="90">
        <v>51.023000000000003</v>
      </c>
      <c r="J179" s="91">
        <v>0.1792</v>
      </c>
      <c r="K179" s="91">
        <v>0</v>
      </c>
      <c r="L179" s="171"/>
      <c r="M179" s="170"/>
      <c r="N179" s="56"/>
    </row>
    <row r="180" spans="1:14" x14ac:dyDescent="0.35">
      <c r="A180" s="32"/>
      <c r="F180" s="124"/>
      <c r="G180" s="54">
        <v>3</v>
      </c>
      <c r="H180" s="89">
        <v>53.316000000000003</v>
      </c>
      <c r="I180" s="90">
        <v>46.683999999999997</v>
      </c>
      <c r="J180" s="91">
        <v>6.2100000000000002E-2</v>
      </c>
      <c r="K180" s="91">
        <v>7.3000000000000001E-3</v>
      </c>
      <c r="L180" s="171"/>
      <c r="M180" s="170"/>
      <c r="N180" s="56"/>
    </row>
    <row r="181" spans="1:14" x14ac:dyDescent="0.35">
      <c r="A181" s="32"/>
      <c r="F181" s="124"/>
      <c r="G181" s="54">
        <v>4</v>
      </c>
      <c r="H181" s="89">
        <v>55.451000000000001</v>
      </c>
      <c r="I181" s="90">
        <v>44.548999999999999</v>
      </c>
      <c r="J181" s="91">
        <v>3.56E-2</v>
      </c>
      <c r="K181" s="91">
        <v>1.12E-2</v>
      </c>
      <c r="L181" s="171"/>
      <c r="M181" s="170"/>
      <c r="N181" s="56"/>
    </row>
    <row r="182" spans="1:14" x14ac:dyDescent="0.35">
      <c r="A182" s="32"/>
      <c r="F182" s="124"/>
      <c r="G182" s="54">
        <v>5</v>
      </c>
      <c r="H182" s="89">
        <v>57.311999999999998</v>
      </c>
      <c r="I182" s="90">
        <v>42.688000000000002</v>
      </c>
      <c r="J182" s="91">
        <v>2.2100000000000002E-2</v>
      </c>
      <c r="K182" s="91">
        <v>1.5599999999999999E-2</v>
      </c>
      <c r="L182" s="171"/>
      <c r="M182" s="170"/>
      <c r="N182" s="56"/>
    </row>
    <row r="183" spans="1:14" x14ac:dyDescent="0.35">
      <c r="A183" s="32"/>
      <c r="F183" s="124"/>
      <c r="G183" s="54">
        <v>6</v>
      </c>
      <c r="H183" s="89">
        <v>59.558999999999997</v>
      </c>
      <c r="I183" s="90">
        <v>40.441000000000003</v>
      </c>
      <c r="J183" s="91">
        <v>1.2800000000000001E-2</v>
      </c>
      <c r="K183" s="92">
        <v>2.4E-2</v>
      </c>
      <c r="L183" s="171"/>
      <c r="M183" s="170"/>
      <c r="N183" s="56"/>
    </row>
    <row r="184" spans="1:14" x14ac:dyDescent="0.35">
      <c r="A184" s="32"/>
      <c r="F184" s="124"/>
      <c r="G184" s="54">
        <v>7</v>
      </c>
      <c r="H184" s="89">
        <v>64.332999999999998</v>
      </c>
      <c r="I184" s="90">
        <v>35.667000000000002</v>
      </c>
      <c r="J184" s="91">
        <v>3.2000000000000002E-3</v>
      </c>
      <c r="K184" s="91">
        <v>6.3299999999999995E-2</v>
      </c>
      <c r="L184" s="171"/>
      <c r="M184" s="170"/>
      <c r="N184" s="56"/>
    </row>
    <row r="185" spans="1:14" ht="15" thickBot="1" x14ac:dyDescent="0.4">
      <c r="A185" s="33"/>
      <c r="B185" s="34"/>
      <c r="C185" s="34"/>
      <c r="D185" s="86"/>
      <c r="E185" s="34"/>
      <c r="F185" s="125"/>
      <c r="G185" s="106">
        <v>8</v>
      </c>
      <c r="H185" s="107">
        <v>65.998999999999995</v>
      </c>
      <c r="I185" s="107">
        <v>34.000999999999998</v>
      </c>
      <c r="J185" s="108">
        <v>0</v>
      </c>
      <c r="K185" s="108">
        <v>8.3400000000000002E-2</v>
      </c>
      <c r="L185" s="171"/>
      <c r="M185" s="170"/>
      <c r="N185" s="56"/>
    </row>
    <row r="186" spans="1:14" x14ac:dyDescent="0.35">
      <c r="A186" s="29" t="s">
        <v>48</v>
      </c>
      <c r="B186" s="30">
        <v>2</v>
      </c>
      <c r="C186" s="102" t="s">
        <v>96</v>
      </c>
      <c r="D186" s="109" t="s">
        <v>123</v>
      </c>
      <c r="E186" s="30">
        <v>32.76</v>
      </c>
      <c r="F186" s="126">
        <v>144.57889923586231</v>
      </c>
      <c r="G186" s="102">
        <v>1</v>
      </c>
      <c r="H186" s="103">
        <v>31.67</v>
      </c>
      <c r="I186" s="104">
        <v>68.33</v>
      </c>
      <c r="J186" s="105">
        <v>1</v>
      </c>
      <c r="K186" s="105">
        <v>0</v>
      </c>
      <c r="L186" s="171">
        <f t="shared" si="17"/>
        <v>49.051000000000002</v>
      </c>
      <c r="M186" s="170">
        <f t="shared" si="18"/>
        <v>53.075000000000003</v>
      </c>
      <c r="N186" s="56">
        <f t="shared" si="19"/>
        <v>63.042000000000002</v>
      </c>
    </row>
    <row r="187" spans="1:14" x14ac:dyDescent="0.35">
      <c r="A187" s="32"/>
      <c r="F187" s="124"/>
      <c r="G187" s="54">
        <v>2</v>
      </c>
      <c r="H187" s="89">
        <v>40.430999999999997</v>
      </c>
      <c r="I187" s="90">
        <v>59.569000000000003</v>
      </c>
      <c r="J187" s="91">
        <v>0.1792</v>
      </c>
      <c r="K187" s="91">
        <v>0</v>
      </c>
      <c r="L187" s="171"/>
      <c r="M187" s="170"/>
      <c r="N187" s="56"/>
    </row>
    <row r="188" spans="1:14" x14ac:dyDescent="0.35">
      <c r="A188" s="32"/>
      <c r="F188" s="124"/>
      <c r="G188" s="54">
        <v>3</v>
      </c>
      <c r="H188" s="89">
        <v>49.051000000000002</v>
      </c>
      <c r="I188" s="90">
        <v>50.948999999999998</v>
      </c>
      <c r="J188" s="91">
        <v>3.49E-2</v>
      </c>
      <c r="K188" s="91">
        <v>4.1000000000000003E-3</v>
      </c>
      <c r="L188" s="171"/>
      <c r="M188" s="170"/>
      <c r="N188" s="56"/>
    </row>
    <row r="189" spans="1:14" x14ac:dyDescent="0.35">
      <c r="A189" s="32"/>
      <c r="F189" s="124"/>
      <c r="G189" s="54">
        <v>4</v>
      </c>
      <c r="H189" s="89">
        <v>51.204999999999998</v>
      </c>
      <c r="I189" s="90">
        <v>48.795000000000002</v>
      </c>
      <c r="J189" s="91">
        <v>2.18E-2</v>
      </c>
      <c r="K189" s="91">
        <v>6.7999999999999996E-3</v>
      </c>
      <c r="L189" s="171"/>
      <c r="M189" s="170"/>
      <c r="N189" s="56"/>
    </row>
    <row r="190" spans="1:14" x14ac:dyDescent="0.35">
      <c r="A190" s="32"/>
      <c r="F190" s="124"/>
      <c r="G190" s="54">
        <v>5</v>
      </c>
      <c r="H190" s="89">
        <v>53.075000000000003</v>
      </c>
      <c r="I190" s="90">
        <v>46.924999999999997</v>
      </c>
      <c r="J190" s="91">
        <v>1.52E-2</v>
      </c>
      <c r="K190" s="91">
        <v>1.0699999999999999E-2</v>
      </c>
      <c r="L190" s="171"/>
      <c r="M190" s="170"/>
      <c r="N190" s="56"/>
    </row>
    <row r="191" spans="1:14" x14ac:dyDescent="0.35">
      <c r="A191" s="32"/>
      <c r="F191" s="124"/>
      <c r="G191" s="54">
        <v>6</v>
      </c>
      <c r="H191" s="89">
        <v>55.21</v>
      </c>
      <c r="I191" s="90">
        <v>44.79</v>
      </c>
      <c r="J191" s="91">
        <v>1.01E-2</v>
      </c>
      <c r="K191" s="92">
        <v>1.89E-2</v>
      </c>
      <c r="L191" s="171"/>
      <c r="M191" s="170"/>
      <c r="N191" s="56"/>
    </row>
    <row r="192" spans="1:14" x14ac:dyDescent="0.35">
      <c r="A192" s="32"/>
      <c r="F192" s="124"/>
      <c r="G192" s="54">
        <v>7</v>
      </c>
      <c r="H192" s="89">
        <v>61.325000000000003</v>
      </c>
      <c r="I192" s="90">
        <v>38.674999999999997</v>
      </c>
      <c r="J192" s="91">
        <v>1.1999999999999999E-3</v>
      </c>
      <c r="K192" s="91">
        <v>8.7400000000000005E-2</v>
      </c>
      <c r="L192" s="171"/>
      <c r="M192" s="170"/>
      <c r="N192" s="56"/>
    </row>
    <row r="193" spans="1:14" ht="15" thickBot="1" x14ac:dyDescent="0.4">
      <c r="A193" s="33"/>
      <c r="B193" s="34"/>
      <c r="C193" s="34"/>
      <c r="D193" s="86"/>
      <c r="E193" s="34"/>
      <c r="F193" s="125"/>
      <c r="G193" s="106">
        <v>8</v>
      </c>
      <c r="H193" s="107">
        <v>63.042000000000002</v>
      </c>
      <c r="I193" s="107">
        <v>36.957999999999998</v>
      </c>
      <c r="J193" s="108">
        <v>0</v>
      </c>
      <c r="K193" s="108">
        <v>0.1167</v>
      </c>
      <c r="L193" s="171"/>
      <c r="M193" s="170"/>
      <c r="N193" s="56"/>
    </row>
    <row r="194" spans="1:14" x14ac:dyDescent="0.35">
      <c r="A194" s="29" t="s">
        <v>48</v>
      </c>
      <c r="B194" s="30">
        <v>2</v>
      </c>
      <c r="C194" s="102" t="s">
        <v>97</v>
      </c>
      <c r="D194" s="109" t="s">
        <v>124</v>
      </c>
      <c r="E194" s="30">
        <v>31.493333333333336</v>
      </c>
      <c r="F194" s="126">
        <v>346.91586186750811</v>
      </c>
      <c r="G194" s="102">
        <v>1</v>
      </c>
      <c r="H194" s="103">
        <v>25.11</v>
      </c>
      <c r="I194" s="104">
        <v>74.89</v>
      </c>
      <c r="J194" s="105">
        <v>1</v>
      </c>
      <c r="K194" s="105">
        <v>0</v>
      </c>
      <c r="L194" s="171">
        <f t="shared" si="17"/>
        <v>42.679000000000002</v>
      </c>
      <c r="M194" s="170">
        <f t="shared" si="18"/>
        <v>47.276000000000003</v>
      </c>
      <c r="N194" s="56">
        <f t="shared" si="19"/>
        <v>63.188000000000002</v>
      </c>
    </row>
    <row r="195" spans="1:14" x14ac:dyDescent="0.35">
      <c r="A195" s="32"/>
      <c r="F195" s="124"/>
      <c r="G195" s="54">
        <v>2</v>
      </c>
      <c r="H195" s="89">
        <v>34.097000000000001</v>
      </c>
      <c r="I195" s="90">
        <v>65.903000000000006</v>
      </c>
      <c r="J195" s="91">
        <v>0.27510000000000001</v>
      </c>
      <c r="K195" s="91">
        <v>0</v>
      </c>
      <c r="L195" s="171"/>
      <c r="M195" s="170"/>
      <c r="N195" s="56"/>
    </row>
    <row r="196" spans="1:14" x14ac:dyDescent="0.35">
      <c r="A196" s="32"/>
      <c r="F196" s="124"/>
      <c r="G196" s="54">
        <v>3</v>
      </c>
      <c r="H196" s="89">
        <v>42.679000000000002</v>
      </c>
      <c r="I196" s="90">
        <v>57.320999999999998</v>
      </c>
      <c r="J196" s="91">
        <v>5.1200000000000002E-2</v>
      </c>
      <c r="K196" s="91">
        <v>7.4000000000000003E-3</v>
      </c>
      <c r="L196" s="171"/>
      <c r="M196" s="170"/>
      <c r="N196" s="56"/>
    </row>
    <row r="197" spans="1:14" x14ac:dyDescent="0.35">
      <c r="A197" s="32"/>
      <c r="F197" s="124"/>
      <c r="G197" s="54">
        <v>4</v>
      </c>
      <c r="H197" s="89">
        <v>45.238999999999997</v>
      </c>
      <c r="I197" s="90">
        <v>54.761000000000003</v>
      </c>
      <c r="J197" s="91">
        <v>3.04E-2</v>
      </c>
      <c r="K197" s="91">
        <v>1.17E-2</v>
      </c>
      <c r="L197" s="171"/>
      <c r="M197" s="170"/>
      <c r="N197" s="56"/>
    </row>
    <row r="198" spans="1:14" x14ac:dyDescent="0.35">
      <c r="A198" s="32"/>
      <c r="F198" s="124"/>
      <c r="G198" s="54">
        <v>5</v>
      </c>
      <c r="H198" s="89">
        <v>47.276000000000003</v>
      </c>
      <c r="I198" s="90">
        <v>52.723999999999997</v>
      </c>
      <c r="J198" s="91">
        <v>1.95E-2</v>
      </c>
      <c r="K198" s="91">
        <v>1.6799999999999999E-2</v>
      </c>
      <c r="L198" s="171"/>
      <c r="M198" s="170"/>
      <c r="N198" s="56"/>
    </row>
    <row r="199" spans="1:14" x14ac:dyDescent="0.35">
      <c r="A199" s="32"/>
      <c r="F199" s="124"/>
      <c r="G199" s="54">
        <v>6</v>
      </c>
      <c r="H199" s="89">
        <v>49.793999999999997</v>
      </c>
      <c r="I199" s="90">
        <v>50.206000000000003</v>
      </c>
      <c r="J199" s="91">
        <v>1.12E-2</v>
      </c>
      <c r="K199" s="92">
        <v>2.58E-2</v>
      </c>
      <c r="L199" s="171"/>
      <c r="M199" s="170"/>
      <c r="N199" s="56"/>
    </row>
    <row r="200" spans="1:14" x14ac:dyDescent="0.35">
      <c r="A200" s="32"/>
      <c r="F200" s="124"/>
      <c r="G200" s="54">
        <v>7</v>
      </c>
      <c r="H200" s="89">
        <v>60.38</v>
      </c>
      <c r="I200" s="90">
        <v>39.619999999999997</v>
      </c>
      <c r="J200" s="91">
        <v>3.2000000000000002E-3</v>
      </c>
      <c r="K200" s="91">
        <v>0.16819999999999999</v>
      </c>
      <c r="L200" s="171"/>
      <c r="M200" s="170"/>
      <c r="N200" s="56"/>
    </row>
    <row r="201" spans="1:14" ht="15" thickBot="1" x14ac:dyDescent="0.4">
      <c r="A201" s="33"/>
      <c r="B201" s="34"/>
      <c r="C201" s="34"/>
      <c r="D201" s="86"/>
      <c r="E201" s="34"/>
      <c r="F201" s="125"/>
      <c r="G201" s="106">
        <v>8</v>
      </c>
      <c r="H201" s="107">
        <v>63.188000000000002</v>
      </c>
      <c r="I201" s="107">
        <v>36.811999999999998</v>
      </c>
      <c r="J201" s="108">
        <v>0</v>
      </c>
      <c r="K201" s="108">
        <v>0.23130000000000001</v>
      </c>
      <c r="L201" s="171"/>
      <c r="M201" s="170"/>
      <c r="N201" s="56"/>
    </row>
    <row r="202" spans="1:14" x14ac:dyDescent="0.35">
      <c r="A202" s="29" t="s">
        <v>48</v>
      </c>
      <c r="B202" s="30">
        <v>2</v>
      </c>
      <c r="C202" s="102" t="s">
        <v>97</v>
      </c>
      <c r="D202" s="109" t="s">
        <v>125</v>
      </c>
      <c r="E202" s="30">
        <v>31.47</v>
      </c>
      <c r="F202" s="126">
        <v>65.079308286164476</v>
      </c>
      <c r="G202" s="102">
        <v>1</v>
      </c>
      <c r="H202" s="103">
        <v>45.02</v>
      </c>
      <c r="I202" s="104">
        <v>54.98</v>
      </c>
      <c r="J202" s="105">
        <v>1</v>
      </c>
      <c r="K202" s="105">
        <v>0</v>
      </c>
      <c r="L202" s="171">
        <f t="shared" ref="L202:L210" si="20">H204</f>
        <v>55.247999999999998</v>
      </c>
      <c r="M202" s="170">
        <f t="shared" ref="M202:M210" si="21">H206</f>
        <v>58.2</v>
      </c>
      <c r="N202" s="56">
        <f t="shared" ref="N202:N210" si="22">H209</f>
        <v>65.650999999999996</v>
      </c>
    </row>
    <row r="203" spans="1:14" x14ac:dyDescent="0.35">
      <c r="A203" s="32"/>
      <c r="F203" s="124"/>
      <c r="G203" s="54">
        <v>2</v>
      </c>
      <c r="H203" s="89">
        <v>51.537999999999997</v>
      </c>
      <c r="I203" s="90">
        <v>48.462000000000003</v>
      </c>
      <c r="J203" s="91">
        <v>0.15590000000000001</v>
      </c>
      <c r="K203" s="91">
        <v>0</v>
      </c>
      <c r="L203" s="171"/>
      <c r="M203" s="170"/>
      <c r="N203" s="56"/>
    </row>
    <row r="204" spans="1:14" x14ac:dyDescent="0.35">
      <c r="A204" s="32"/>
      <c r="F204" s="124"/>
      <c r="G204" s="54">
        <v>3</v>
      </c>
      <c r="H204" s="89">
        <v>55.247999999999998</v>
      </c>
      <c r="I204" s="90">
        <v>44.752000000000002</v>
      </c>
      <c r="J204" s="91">
        <v>4.7100000000000003E-2</v>
      </c>
      <c r="K204" s="91">
        <v>6.7999999999999996E-3</v>
      </c>
      <c r="L204" s="171"/>
      <c r="M204" s="170"/>
      <c r="N204" s="56"/>
    </row>
    <row r="205" spans="1:14" x14ac:dyDescent="0.35">
      <c r="A205" s="32"/>
      <c r="F205" s="124"/>
      <c r="G205" s="54">
        <v>4</v>
      </c>
      <c r="H205" s="89">
        <v>56.938000000000002</v>
      </c>
      <c r="I205" s="90">
        <v>43.061999999999998</v>
      </c>
      <c r="J205" s="91">
        <v>2.6100000000000002E-2</v>
      </c>
      <c r="K205" s="91">
        <v>0.01</v>
      </c>
      <c r="L205" s="171"/>
      <c r="M205" s="170"/>
      <c r="N205" s="56"/>
    </row>
    <row r="206" spans="1:14" x14ac:dyDescent="0.35">
      <c r="A206" s="32"/>
      <c r="F206" s="124"/>
      <c r="G206" s="54">
        <v>5</v>
      </c>
      <c r="H206" s="89">
        <v>58.2</v>
      </c>
      <c r="I206" s="90">
        <v>41.8</v>
      </c>
      <c r="J206" s="91">
        <v>1.6299999999999999E-2</v>
      </c>
      <c r="K206" s="91">
        <v>1.41E-2</v>
      </c>
      <c r="L206" s="171"/>
      <c r="M206" s="170"/>
      <c r="N206" s="56"/>
    </row>
    <row r="207" spans="1:14" x14ac:dyDescent="0.35">
      <c r="A207" s="32"/>
      <c r="F207" s="124"/>
      <c r="G207" s="54">
        <v>6</v>
      </c>
      <c r="H207" s="89">
        <v>59.639000000000003</v>
      </c>
      <c r="I207" s="90">
        <v>40.360999999999997</v>
      </c>
      <c r="J207" s="91">
        <v>9.2999999999999992E-3</v>
      </c>
      <c r="K207" s="92">
        <v>2.1399999999999999E-2</v>
      </c>
      <c r="L207" s="171"/>
      <c r="M207" s="170"/>
      <c r="N207" s="56"/>
    </row>
    <row r="208" spans="1:14" x14ac:dyDescent="0.35">
      <c r="A208" s="32"/>
      <c r="F208" s="124"/>
      <c r="G208" s="54">
        <v>7</v>
      </c>
      <c r="H208" s="89">
        <v>64.108999999999995</v>
      </c>
      <c r="I208" s="90">
        <v>35.890999999999998</v>
      </c>
      <c r="J208" s="91">
        <v>1.1000000000000001E-3</v>
      </c>
      <c r="K208" s="91">
        <v>6.7599999999999993E-2</v>
      </c>
      <c r="L208" s="171"/>
      <c r="M208" s="170"/>
      <c r="N208" s="56"/>
    </row>
    <row r="209" spans="1:14" ht="15" thickBot="1" x14ac:dyDescent="0.4">
      <c r="A209" s="33"/>
      <c r="B209" s="34"/>
      <c r="C209" s="34"/>
      <c r="D209" s="86"/>
      <c r="E209" s="34"/>
      <c r="F209" s="125"/>
      <c r="G209" s="106">
        <v>8</v>
      </c>
      <c r="H209" s="107">
        <v>65.650999999999996</v>
      </c>
      <c r="I209" s="107">
        <v>34.348999999999997</v>
      </c>
      <c r="J209" s="108">
        <v>0</v>
      </c>
      <c r="K209" s="108">
        <v>8.8300000000000003E-2</v>
      </c>
      <c r="L209" s="171"/>
      <c r="M209" s="170"/>
      <c r="N209" s="56"/>
    </row>
    <row r="210" spans="1:14" x14ac:dyDescent="0.35">
      <c r="A210" s="29" t="s">
        <v>48</v>
      </c>
      <c r="B210" s="30">
        <v>2</v>
      </c>
      <c r="C210" s="117" t="s">
        <v>97</v>
      </c>
      <c r="D210" s="109" t="s">
        <v>126</v>
      </c>
      <c r="E210" s="30">
        <v>32.656666666666666</v>
      </c>
      <c r="F210" s="126">
        <v>53.70989131396297</v>
      </c>
      <c r="G210" s="117">
        <v>1</v>
      </c>
      <c r="H210" s="118">
        <v>49.18</v>
      </c>
      <c r="I210" s="119">
        <v>50.82</v>
      </c>
      <c r="J210" s="120">
        <v>1</v>
      </c>
      <c r="K210" s="120">
        <v>0</v>
      </c>
      <c r="L210" s="171">
        <f t="shared" si="20"/>
        <v>60.106000000000002</v>
      </c>
      <c r="M210" s="170">
        <f t="shared" si="21"/>
        <v>63.334000000000003</v>
      </c>
      <c r="N210" s="56">
        <f t="shared" si="22"/>
        <v>69.555999999999997</v>
      </c>
    </row>
    <row r="211" spans="1:14" x14ac:dyDescent="0.35">
      <c r="A211" s="32"/>
      <c r="F211" s="124"/>
      <c r="G211" s="93">
        <v>2</v>
      </c>
      <c r="H211" s="94">
        <v>55.401000000000003</v>
      </c>
      <c r="I211" s="95">
        <v>44.598999999999997</v>
      </c>
      <c r="J211" s="96">
        <v>0.17849999999999999</v>
      </c>
      <c r="K211" s="96">
        <v>0</v>
      </c>
      <c r="L211" s="171"/>
      <c r="M211" s="170"/>
      <c r="N211" s="56"/>
    </row>
    <row r="212" spans="1:14" x14ac:dyDescent="0.35">
      <c r="A212" s="32"/>
      <c r="F212" s="124"/>
      <c r="G212" s="93">
        <v>3</v>
      </c>
      <c r="H212" s="94">
        <v>60.106000000000002</v>
      </c>
      <c r="I212" s="95">
        <v>39.893999999999998</v>
      </c>
      <c r="J212" s="96">
        <v>4.58E-2</v>
      </c>
      <c r="K212" s="96">
        <v>6.6E-3</v>
      </c>
      <c r="L212" s="171"/>
      <c r="M212" s="170"/>
      <c r="N212" s="56"/>
    </row>
    <row r="213" spans="1:14" x14ac:dyDescent="0.35">
      <c r="A213" s="32"/>
      <c r="F213" s="124"/>
      <c r="G213" s="93">
        <v>4</v>
      </c>
      <c r="H213" s="94">
        <v>61.854999999999997</v>
      </c>
      <c r="I213" s="95">
        <v>38.145000000000003</v>
      </c>
      <c r="J213" s="96">
        <v>2.6700000000000002E-2</v>
      </c>
      <c r="K213" s="96">
        <v>1.0200000000000001E-2</v>
      </c>
      <c r="L213" s="171"/>
      <c r="M213" s="170"/>
      <c r="N213" s="56"/>
    </row>
    <row r="214" spans="1:14" x14ac:dyDescent="0.35">
      <c r="A214" s="32"/>
      <c r="F214" s="124"/>
      <c r="G214" s="93">
        <v>5</v>
      </c>
      <c r="H214" s="94">
        <v>63.334000000000003</v>
      </c>
      <c r="I214" s="95">
        <v>36.665999999999997</v>
      </c>
      <c r="J214" s="96">
        <v>1.7299999999999999E-2</v>
      </c>
      <c r="K214" s="96">
        <v>1.49E-2</v>
      </c>
      <c r="L214" s="171"/>
      <c r="M214" s="170"/>
      <c r="N214" s="56"/>
    </row>
    <row r="215" spans="1:14" x14ac:dyDescent="0.35">
      <c r="A215" s="32"/>
      <c r="F215" s="124"/>
      <c r="G215" s="93">
        <v>6</v>
      </c>
      <c r="H215" s="94">
        <v>65.162999999999997</v>
      </c>
      <c r="I215" s="95">
        <v>34.837000000000003</v>
      </c>
      <c r="J215" s="96">
        <v>1.04E-2</v>
      </c>
      <c r="K215" s="97">
        <v>2.4E-2</v>
      </c>
      <c r="L215" s="171"/>
      <c r="M215" s="170"/>
      <c r="N215" s="56"/>
    </row>
    <row r="216" spans="1:14" x14ac:dyDescent="0.35">
      <c r="A216" s="32"/>
      <c r="F216" s="124"/>
      <c r="G216" s="93">
        <v>7</v>
      </c>
      <c r="H216" s="94">
        <v>68.191999999999993</v>
      </c>
      <c r="I216" s="95">
        <v>31.808</v>
      </c>
      <c r="J216" s="96">
        <v>4.1000000000000003E-3</v>
      </c>
      <c r="K216" s="96">
        <v>5.21E-2</v>
      </c>
      <c r="L216" s="171"/>
      <c r="M216" s="170"/>
      <c r="N216" s="56"/>
    </row>
    <row r="217" spans="1:14" ht="15" thickBot="1" x14ac:dyDescent="0.4">
      <c r="A217" s="33"/>
      <c r="B217" s="34"/>
      <c r="C217" s="34"/>
      <c r="D217" s="86"/>
      <c r="E217" s="34"/>
      <c r="F217" s="125"/>
      <c r="G217" s="121">
        <v>8</v>
      </c>
      <c r="H217" s="122">
        <v>69.555999999999997</v>
      </c>
      <c r="I217" s="122">
        <v>30.443999999999999</v>
      </c>
      <c r="J217" s="123">
        <v>0</v>
      </c>
      <c r="K217" s="123">
        <v>6.8000000000000005E-2</v>
      </c>
      <c r="L217" s="171"/>
      <c r="M217" s="170"/>
      <c r="N217" s="56"/>
    </row>
    <row r="218" spans="1:14" x14ac:dyDescent="0.35">
      <c r="A218" s="22"/>
      <c r="B218" s="22"/>
      <c r="C218" s="22"/>
      <c r="D218" s="87"/>
      <c r="E218" s="22"/>
      <c r="F218" s="110"/>
      <c r="G218" s="22"/>
      <c r="H218" s="22"/>
      <c r="I218" s="22"/>
      <c r="J218" s="22"/>
      <c r="K218" s="22"/>
    </row>
  </sheetData>
  <autoFilter ref="A1:K217" xr:uid="{00000000-0009-0000-0000-000005000000}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" filterMode="1"/>
  <dimension ref="A1:V130"/>
  <sheetViews>
    <sheetView topLeftCell="K1" zoomScale="104" workbookViewId="0">
      <pane ySplit="4" topLeftCell="A41" activePane="bottomLeft" state="frozen"/>
      <selection activeCell="B1" sqref="B1"/>
      <selection pane="bottomLeft" activeCell="T42" sqref="T42"/>
    </sheetView>
  </sheetViews>
  <sheetFormatPr defaultRowHeight="14.5" x14ac:dyDescent="0.35"/>
  <cols>
    <col min="1" max="1" width="16" bestFit="1" customWidth="1"/>
    <col min="2" max="2" width="10.36328125" bestFit="1" customWidth="1"/>
    <col min="11" max="11" width="10.6328125" customWidth="1"/>
    <col min="12" max="12" width="12.54296875" customWidth="1"/>
    <col min="13" max="14" width="10.08984375" customWidth="1"/>
    <col min="15" max="15" width="9.54296875" customWidth="1"/>
    <col min="20" max="20" width="9.90625" customWidth="1"/>
  </cols>
  <sheetData>
    <row r="1" spans="1:22" ht="15.65" customHeight="1" x14ac:dyDescent="0.35">
      <c r="A1" s="201" t="s">
        <v>0</v>
      </c>
      <c r="B1" s="201" t="s">
        <v>1</v>
      </c>
      <c r="C1" s="201" t="s">
        <v>49</v>
      </c>
      <c r="D1" s="202" t="s">
        <v>65</v>
      </c>
      <c r="E1" s="202" t="s">
        <v>66</v>
      </c>
      <c r="F1" s="202" t="s">
        <v>67</v>
      </c>
      <c r="G1" s="202" t="s">
        <v>68</v>
      </c>
      <c r="H1" s="201" t="s">
        <v>70</v>
      </c>
      <c r="I1" s="202" t="s">
        <v>69</v>
      </c>
      <c r="J1" s="201" t="s">
        <v>39</v>
      </c>
      <c r="K1" s="201" t="s">
        <v>40</v>
      </c>
      <c r="L1" s="201" t="s">
        <v>50</v>
      </c>
      <c r="M1" s="195" t="s">
        <v>64</v>
      </c>
      <c r="N1" s="196"/>
      <c r="O1" s="196"/>
      <c r="P1" s="196"/>
      <c r="Q1" s="196"/>
      <c r="R1" s="196"/>
      <c r="S1" s="196"/>
      <c r="T1" s="197"/>
      <c r="U1" s="191" t="s">
        <v>74</v>
      </c>
      <c r="V1" s="192"/>
    </row>
    <row r="2" spans="1:22" ht="15.65" customHeight="1" x14ac:dyDescent="0.35">
      <c r="A2" s="201"/>
      <c r="B2" s="201"/>
      <c r="C2" s="201"/>
      <c r="D2" s="202"/>
      <c r="E2" s="202"/>
      <c r="F2" s="202"/>
      <c r="G2" s="202"/>
      <c r="H2" s="201"/>
      <c r="I2" s="202"/>
      <c r="J2" s="201"/>
      <c r="K2" s="201"/>
      <c r="L2" s="201"/>
      <c r="M2" s="198"/>
      <c r="N2" s="199"/>
      <c r="O2" s="199"/>
      <c r="P2" s="199"/>
      <c r="Q2" s="199"/>
      <c r="R2" s="199"/>
      <c r="S2" s="199"/>
      <c r="T2" s="200"/>
      <c r="U2" s="193"/>
      <c r="V2" s="194"/>
    </row>
    <row r="3" spans="1:22" ht="15.5" x14ac:dyDescent="0.35">
      <c r="A3" s="201"/>
      <c r="B3" s="201"/>
      <c r="C3" s="201"/>
      <c r="D3" s="202"/>
      <c r="E3" s="202"/>
      <c r="F3" s="202"/>
      <c r="G3" s="202"/>
      <c r="H3" s="201"/>
      <c r="I3" s="202"/>
      <c r="J3" s="201"/>
      <c r="K3" s="201"/>
      <c r="L3" s="201"/>
      <c r="M3" t="s">
        <v>76</v>
      </c>
      <c r="N3" s="48" t="s">
        <v>71</v>
      </c>
      <c r="O3" s="48" t="s">
        <v>156</v>
      </c>
      <c r="P3" s="41" t="s">
        <v>72</v>
      </c>
      <c r="Q3" s="41" t="s">
        <v>38</v>
      </c>
      <c r="R3" s="41" t="s">
        <v>37</v>
      </c>
      <c r="S3" s="41" t="s">
        <v>47</v>
      </c>
      <c r="T3" s="41" t="s">
        <v>73</v>
      </c>
      <c r="U3" s="41" t="s">
        <v>51</v>
      </c>
      <c r="V3" s="41" t="s">
        <v>52</v>
      </c>
    </row>
    <row r="4" spans="1:22" ht="15.5" x14ac:dyDescent="0.35">
      <c r="A4" s="41">
        <v>1</v>
      </c>
      <c r="B4" s="41">
        <v>2</v>
      </c>
      <c r="C4" s="41">
        <v>3</v>
      </c>
      <c r="D4" s="41">
        <v>5</v>
      </c>
      <c r="E4" s="41">
        <v>6</v>
      </c>
      <c r="F4" s="41">
        <v>7</v>
      </c>
      <c r="G4" s="41">
        <v>8</v>
      </c>
      <c r="H4" s="41">
        <v>9</v>
      </c>
      <c r="I4" s="41">
        <v>10</v>
      </c>
      <c r="J4" s="41">
        <v>11</v>
      </c>
      <c r="K4" s="41">
        <v>12</v>
      </c>
      <c r="L4" s="41">
        <v>13</v>
      </c>
      <c r="M4" s="41">
        <v>14</v>
      </c>
      <c r="N4" s="41">
        <v>15</v>
      </c>
      <c r="O4" s="41">
        <v>16</v>
      </c>
      <c r="P4" s="41">
        <v>17</v>
      </c>
      <c r="Q4" s="41">
        <v>18</v>
      </c>
      <c r="R4" s="41">
        <v>19</v>
      </c>
      <c r="S4" s="41">
        <v>20</v>
      </c>
      <c r="T4" s="41">
        <v>21</v>
      </c>
      <c r="U4" s="41">
        <v>22</v>
      </c>
      <c r="V4" s="41">
        <v>23</v>
      </c>
    </row>
    <row r="5" spans="1:22" ht="15.5" hidden="1" x14ac:dyDescent="0.35">
      <c r="A5" s="41" t="s">
        <v>48</v>
      </c>
      <c r="B5" s="148" t="s">
        <v>139</v>
      </c>
      <c r="C5" s="149" t="s">
        <v>152</v>
      </c>
      <c r="D5" s="148">
        <v>822.6</v>
      </c>
      <c r="E5" s="148">
        <v>824.2</v>
      </c>
      <c r="F5" s="148">
        <v>794.6</v>
      </c>
      <c r="G5" s="148">
        <v>796.2</v>
      </c>
      <c r="H5" s="148">
        <v>1.6</v>
      </c>
      <c r="I5" s="148">
        <v>1.1641300000000001</v>
      </c>
      <c r="J5" s="42">
        <v>37.906748466257675</v>
      </c>
      <c r="K5" s="43">
        <v>1069.3900936349535</v>
      </c>
      <c r="L5" s="149" t="s">
        <v>54</v>
      </c>
      <c r="M5" t="e">
        <f>INDEX('Сведения о залежах и флюидах'!A:G,MATCH(РИГИС!C5,'Сведения о залежах и флюидах'!A:A,0),7)</f>
        <v>#N/A</v>
      </c>
      <c r="N5" t="e">
        <f t="shared" ref="N5:N36" si="0">M5-G5</f>
        <v>#N/A</v>
      </c>
      <c r="O5" t="e">
        <f>(9.8*(1.006-0.726)*N5*72*1)/(1000*30*0.86)</f>
        <v>#N/A</v>
      </c>
      <c r="S5" t="e">
        <f>(P5*O5^(1/R5)+100*Q5^(1/R5))/(O5^(1/R5)+Q5^(1/R5))</f>
        <v>#N/A</v>
      </c>
    </row>
    <row r="6" spans="1:22" ht="15.5" hidden="1" x14ac:dyDescent="0.35">
      <c r="A6" s="41" t="s">
        <v>48</v>
      </c>
      <c r="B6" s="148" t="s">
        <v>139</v>
      </c>
      <c r="C6" s="149" t="s">
        <v>152</v>
      </c>
      <c r="D6" s="148">
        <v>826.6</v>
      </c>
      <c r="E6" s="148">
        <v>827.4</v>
      </c>
      <c r="F6" s="148">
        <v>798.6</v>
      </c>
      <c r="G6" s="148">
        <v>799.4</v>
      </c>
      <c r="H6" s="148">
        <v>0.8</v>
      </c>
      <c r="I6" s="148">
        <v>1.1299600000000001</v>
      </c>
      <c r="J6" s="42">
        <v>38.380368098159508</v>
      </c>
      <c r="K6" s="43">
        <v>1518.3350453109445</v>
      </c>
      <c r="L6" s="149" t="s">
        <v>54</v>
      </c>
      <c r="M6" t="e">
        <f>INDEX('Сведения о залежах и флюидах'!A:G,MATCH(РИГИС!C6,'Сведения о залежах и флюидах'!A:A,0),7)</f>
        <v>#N/A</v>
      </c>
      <c r="N6" t="e">
        <f t="shared" si="0"/>
        <v>#N/A</v>
      </c>
      <c r="O6" t="e">
        <f t="shared" ref="O6:O69" si="1">(9.8*(1.006-0.726)*N6*72*1)/(1000*30*0.86)</f>
        <v>#N/A</v>
      </c>
      <c r="S6" t="e">
        <f t="shared" ref="S6:S69" si="2">(P6*O6^(1/R6)+100*Q6^(1/R6))/(O6^(1/R6)+Q6^(1/R6))</f>
        <v>#N/A</v>
      </c>
    </row>
    <row r="7" spans="1:22" ht="15.5" hidden="1" x14ac:dyDescent="0.35">
      <c r="A7" s="41" t="s">
        <v>48</v>
      </c>
      <c r="B7" s="148" t="s">
        <v>139</v>
      </c>
      <c r="C7" s="149" t="s">
        <v>152</v>
      </c>
      <c r="D7" s="148">
        <v>836.4</v>
      </c>
      <c r="E7" s="148">
        <v>837.6</v>
      </c>
      <c r="F7" s="148">
        <v>808.4</v>
      </c>
      <c r="G7" s="148">
        <v>809.6</v>
      </c>
      <c r="H7" s="148">
        <v>1.2</v>
      </c>
      <c r="I7" s="148">
        <v>1.0924400000000001</v>
      </c>
      <c r="J7" s="42">
        <v>38.260736196319023</v>
      </c>
      <c r="K7" s="43">
        <v>1389.6817985485011</v>
      </c>
      <c r="L7" s="149" t="s">
        <v>54</v>
      </c>
      <c r="M7" t="e">
        <f>INDEX('Сведения о залежах и флюидах'!A:G,MATCH(РИГИС!C7,'Сведения о залежах и флюидах'!A:A,0),7)</f>
        <v>#N/A</v>
      </c>
      <c r="N7" t="e">
        <f t="shared" si="0"/>
        <v>#N/A</v>
      </c>
      <c r="O7" t="e">
        <f t="shared" si="1"/>
        <v>#N/A</v>
      </c>
      <c r="S7" t="e">
        <f t="shared" si="2"/>
        <v>#N/A</v>
      </c>
    </row>
    <row r="8" spans="1:22" ht="15.5" hidden="1" x14ac:dyDescent="0.35">
      <c r="A8" s="41" t="s">
        <v>48</v>
      </c>
      <c r="B8" s="148" t="s">
        <v>139</v>
      </c>
      <c r="C8" s="149" t="s">
        <v>152</v>
      </c>
      <c r="D8" s="148">
        <v>851</v>
      </c>
      <c r="E8" s="148">
        <v>853.2</v>
      </c>
      <c r="F8" s="148">
        <v>823</v>
      </c>
      <c r="G8" s="148">
        <v>825.2</v>
      </c>
      <c r="H8" s="148">
        <v>2.2000000000000002</v>
      </c>
      <c r="I8" s="148">
        <v>1.0789200000000001</v>
      </c>
      <c r="J8" s="42">
        <v>39.303067484662577</v>
      </c>
      <c r="K8" s="43">
        <v>3005.681062888174</v>
      </c>
      <c r="L8" s="149" t="s">
        <v>54</v>
      </c>
      <c r="M8" t="e">
        <f>INDEX('Сведения о залежах и флюидах'!A:G,MATCH(РИГИС!C8,'Сведения о залежах и флюидах'!A:A,0),7)</f>
        <v>#N/A</v>
      </c>
      <c r="N8" t="e">
        <f t="shared" si="0"/>
        <v>#N/A</v>
      </c>
      <c r="O8" t="e">
        <f t="shared" si="1"/>
        <v>#N/A</v>
      </c>
      <c r="Q8" t="s">
        <v>157</v>
      </c>
      <c r="S8" t="e">
        <f t="shared" si="2"/>
        <v>#N/A</v>
      </c>
    </row>
    <row r="9" spans="1:22" ht="15.5" hidden="1" x14ac:dyDescent="0.35">
      <c r="A9" s="41" t="s">
        <v>48</v>
      </c>
      <c r="B9" s="148" t="s">
        <v>139</v>
      </c>
      <c r="C9" s="149" t="s">
        <v>152</v>
      </c>
      <c r="D9" s="148">
        <v>860.8</v>
      </c>
      <c r="E9" s="148">
        <v>861.4</v>
      </c>
      <c r="F9" s="148">
        <v>832.8</v>
      </c>
      <c r="G9" s="148">
        <v>833.4</v>
      </c>
      <c r="H9" s="148">
        <v>0.6</v>
      </c>
      <c r="I9" s="148">
        <v>1.1113599999999999</v>
      </c>
      <c r="J9" s="42">
        <v>38.000000000000014</v>
      </c>
      <c r="K9" s="43">
        <v>1145.8009821118787</v>
      </c>
      <c r="L9" s="149" t="s">
        <v>54</v>
      </c>
      <c r="M9" t="e">
        <f>INDEX('Сведения о залежах и флюидах'!A:G,MATCH(РИГИС!C9,'Сведения о залежах и флюидах'!A:A,0),7)</f>
        <v>#N/A</v>
      </c>
      <c r="N9" t="e">
        <f t="shared" si="0"/>
        <v>#N/A</v>
      </c>
      <c r="O9" t="e">
        <f t="shared" si="1"/>
        <v>#N/A</v>
      </c>
      <c r="S9" t="e">
        <f t="shared" si="2"/>
        <v>#N/A</v>
      </c>
    </row>
    <row r="10" spans="1:22" ht="15.5" hidden="1" x14ac:dyDescent="0.35">
      <c r="A10" s="41" t="s">
        <v>48</v>
      </c>
      <c r="B10" s="148" t="s">
        <v>139</v>
      </c>
      <c r="C10" s="149" t="s">
        <v>152</v>
      </c>
      <c r="D10" s="148">
        <v>862</v>
      </c>
      <c r="E10" s="148">
        <v>864</v>
      </c>
      <c r="F10" s="148">
        <v>834</v>
      </c>
      <c r="G10" s="148">
        <v>836</v>
      </c>
      <c r="H10" s="148">
        <v>2</v>
      </c>
      <c r="I10" s="148">
        <v>1.1515899999999999</v>
      </c>
      <c r="J10" s="42">
        <v>39.4361963190184</v>
      </c>
      <c r="K10" s="43">
        <v>3316.9073769650222</v>
      </c>
      <c r="L10" s="149" t="s">
        <v>54</v>
      </c>
      <c r="M10" t="e">
        <f>INDEX('Сведения о залежах и флюидах'!A:G,MATCH(РИГИС!C10,'Сведения о залежах и флюидах'!A:A,0),7)</f>
        <v>#N/A</v>
      </c>
      <c r="N10" t="e">
        <f t="shared" si="0"/>
        <v>#N/A</v>
      </c>
      <c r="O10" t="e">
        <f t="shared" si="1"/>
        <v>#N/A</v>
      </c>
      <c r="S10" t="e">
        <f t="shared" si="2"/>
        <v>#N/A</v>
      </c>
    </row>
    <row r="11" spans="1:22" ht="15.5" hidden="1" x14ac:dyDescent="0.35">
      <c r="A11" s="41" t="s">
        <v>48</v>
      </c>
      <c r="B11" s="148" t="s">
        <v>139</v>
      </c>
      <c r="C11" s="149" t="s">
        <v>152</v>
      </c>
      <c r="D11" s="148">
        <v>870.2</v>
      </c>
      <c r="E11" s="148">
        <v>871.4</v>
      </c>
      <c r="F11" s="148">
        <v>842.2</v>
      </c>
      <c r="G11" s="148">
        <v>843.4</v>
      </c>
      <c r="H11" s="148">
        <v>1.2</v>
      </c>
      <c r="I11" s="148">
        <v>1.11374</v>
      </c>
      <c r="J11" s="42">
        <v>38.646012269938645</v>
      </c>
      <c r="K11" s="43">
        <v>1848.2100332443124</v>
      </c>
      <c r="L11" s="149" t="s">
        <v>54</v>
      </c>
      <c r="M11" t="e">
        <f>INDEX('Сведения о залежах и флюидах'!A:G,MATCH(РИГИС!C11,'Сведения о залежах и флюидах'!A:A,0),7)</f>
        <v>#N/A</v>
      </c>
      <c r="N11" t="e">
        <f t="shared" si="0"/>
        <v>#N/A</v>
      </c>
      <c r="O11" t="e">
        <f t="shared" si="1"/>
        <v>#N/A</v>
      </c>
      <c r="S11" t="e">
        <f t="shared" si="2"/>
        <v>#N/A</v>
      </c>
    </row>
    <row r="12" spans="1:22" ht="15.5" hidden="1" x14ac:dyDescent="0.35">
      <c r="A12" s="41" t="s">
        <v>48</v>
      </c>
      <c r="B12" s="148" t="s">
        <v>139</v>
      </c>
      <c r="C12" s="149" t="s">
        <v>152</v>
      </c>
      <c r="D12" s="148">
        <v>875.6</v>
      </c>
      <c r="E12" s="148">
        <v>876.4</v>
      </c>
      <c r="F12" s="148">
        <v>847.6</v>
      </c>
      <c r="G12" s="148">
        <v>848.4</v>
      </c>
      <c r="H12" s="148">
        <v>0.8</v>
      </c>
      <c r="I12" s="148">
        <v>1.1218300000000001</v>
      </c>
      <c r="J12" s="42">
        <v>36.211656441717807</v>
      </c>
      <c r="K12" s="43">
        <v>304.99828438677753</v>
      </c>
      <c r="L12" s="149" t="s">
        <v>54</v>
      </c>
      <c r="M12" t="e">
        <f>INDEX('Сведения о залежах и флюидах'!A:G,MATCH(РИГИС!C12,'Сведения о залежах и флюидах'!A:A,0),7)</f>
        <v>#N/A</v>
      </c>
      <c r="N12" t="e">
        <f t="shared" si="0"/>
        <v>#N/A</v>
      </c>
      <c r="O12" t="e">
        <f t="shared" si="1"/>
        <v>#N/A</v>
      </c>
      <c r="S12" t="e">
        <f t="shared" si="2"/>
        <v>#N/A</v>
      </c>
    </row>
    <row r="13" spans="1:22" ht="15.5" hidden="1" x14ac:dyDescent="0.35">
      <c r="A13" s="41" t="s">
        <v>48</v>
      </c>
      <c r="B13" s="148" t="s">
        <v>139</v>
      </c>
      <c r="C13" s="149" t="s">
        <v>152</v>
      </c>
      <c r="D13" s="148">
        <v>879.8</v>
      </c>
      <c r="E13" s="148">
        <v>880.6</v>
      </c>
      <c r="F13" s="148">
        <v>851.8</v>
      </c>
      <c r="G13" s="148">
        <v>852.6</v>
      </c>
      <c r="H13" s="148">
        <v>0.8</v>
      </c>
      <c r="I13" s="148">
        <v>1.15811</v>
      </c>
      <c r="J13" s="42">
        <v>37.346625766871149</v>
      </c>
      <c r="K13" s="43">
        <v>706.48145253542714</v>
      </c>
      <c r="L13" s="149" t="s">
        <v>54</v>
      </c>
      <c r="M13" t="e">
        <f>INDEX('Сведения о залежах и флюидах'!A:G,MATCH(РИГИС!C13,'Сведения о залежах и флюидах'!A:A,0),7)</f>
        <v>#N/A</v>
      </c>
      <c r="N13" t="e">
        <f t="shared" si="0"/>
        <v>#N/A</v>
      </c>
      <c r="O13" t="e">
        <f t="shared" si="1"/>
        <v>#N/A</v>
      </c>
      <c r="S13" t="e">
        <f t="shared" si="2"/>
        <v>#N/A</v>
      </c>
    </row>
    <row r="14" spans="1:22" ht="15.5" hidden="1" x14ac:dyDescent="0.35">
      <c r="A14" s="41" t="s">
        <v>48</v>
      </c>
      <c r="B14" s="148" t="s">
        <v>139</v>
      </c>
      <c r="C14" s="149" t="s">
        <v>152</v>
      </c>
      <c r="D14" s="148">
        <v>883.6</v>
      </c>
      <c r="E14" s="148">
        <v>884.4</v>
      </c>
      <c r="F14" s="148">
        <v>855.6</v>
      </c>
      <c r="G14" s="148">
        <v>856.4</v>
      </c>
      <c r="H14" s="148">
        <v>0.8</v>
      </c>
      <c r="I14" s="148">
        <v>1.18709</v>
      </c>
      <c r="J14" s="42">
        <v>37.714110429447842</v>
      </c>
      <c r="K14" s="43">
        <v>927.29555837626458</v>
      </c>
      <c r="L14" s="149" t="s">
        <v>54</v>
      </c>
      <c r="M14" t="e">
        <f>INDEX('Сведения о залежах и флюидах'!A:G,MATCH(РИГИС!C14,'Сведения о залежах и флюидах'!A:A,0),7)</f>
        <v>#N/A</v>
      </c>
      <c r="N14" t="e">
        <f t="shared" si="0"/>
        <v>#N/A</v>
      </c>
      <c r="O14" t="e">
        <f t="shared" si="1"/>
        <v>#N/A</v>
      </c>
      <c r="S14" t="e">
        <f t="shared" si="2"/>
        <v>#N/A</v>
      </c>
    </row>
    <row r="15" spans="1:22" ht="15.5" hidden="1" x14ac:dyDescent="0.35">
      <c r="A15" s="41" t="s">
        <v>48</v>
      </c>
      <c r="B15" s="148" t="s">
        <v>139</v>
      </c>
      <c r="C15" s="149" t="s">
        <v>152</v>
      </c>
      <c r="D15" s="148">
        <v>906.8</v>
      </c>
      <c r="E15" s="148">
        <v>908</v>
      </c>
      <c r="F15" s="148">
        <v>878.8</v>
      </c>
      <c r="G15" s="148">
        <v>880</v>
      </c>
      <c r="H15" s="148">
        <v>1.2</v>
      </c>
      <c r="I15" s="148">
        <v>1.01555</v>
      </c>
      <c r="J15" s="42">
        <v>37.617177914110414</v>
      </c>
      <c r="K15" s="43">
        <v>863.10175565279576</v>
      </c>
      <c r="L15" s="149" t="s">
        <v>54</v>
      </c>
      <c r="M15" t="e">
        <f>INDEX('Сведения о залежах и флюидах'!A:G,MATCH(РИГИС!C15,'Сведения о залежах и флюидах'!A:A,0),7)</f>
        <v>#N/A</v>
      </c>
      <c r="N15" t="e">
        <f t="shared" si="0"/>
        <v>#N/A</v>
      </c>
      <c r="O15" t="e">
        <f t="shared" si="1"/>
        <v>#N/A</v>
      </c>
      <c r="S15" t="e">
        <f t="shared" si="2"/>
        <v>#N/A</v>
      </c>
    </row>
    <row r="16" spans="1:22" ht="15.5" hidden="1" x14ac:dyDescent="0.35">
      <c r="A16" s="41" t="s">
        <v>48</v>
      </c>
      <c r="B16" s="148" t="s">
        <v>139</v>
      </c>
      <c r="C16" s="149" t="s">
        <v>152</v>
      </c>
      <c r="D16" s="148">
        <v>923.4</v>
      </c>
      <c r="E16" s="148">
        <v>924.4</v>
      </c>
      <c r="F16" s="148">
        <v>895.4</v>
      </c>
      <c r="G16" s="148">
        <v>896.4</v>
      </c>
      <c r="H16" s="148">
        <v>1</v>
      </c>
      <c r="I16" s="148">
        <v>1.08324</v>
      </c>
      <c r="J16" s="42">
        <v>37.877300613496935</v>
      </c>
      <c r="K16" s="43">
        <v>1046.3355672470182</v>
      </c>
      <c r="L16" s="149" t="s">
        <v>54</v>
      </c>
      <c r="M16" t="e">
        <f>INDEX('Сведения о залежах и флюидах'!A:G,MATCH(РИГИС!C16,'Сведения о залежах и флюидах'!A:A,0),7)</f>
        <v>#N/A</v>
      </c>
      <c r="N16" t="e">
        <f t="shared" si="0"/>
        <v>#N/A</v>
      </c>
      <c r="O16" t="e">
        <f t="shared" si="1"/>
        <v>#N/A</v>
      </c>
      <c r="S16" t="e">
        <f t="shared" si="2"/>
        <v>#N/A</v>
      </c>
    </row>
    <row r="17" spans="1:20" ht="15.5" hidden="1" x14ac:dyDescent="0.35">
      <c r="A17" s="41" t="s">
        <v>48</v>
      </c>
      <c r="B17" s="148" t="s">
        <v>139</v>
      </c>
      <c r="C17" s="149" t="s">
        <v>152</v>
      </c>
      <c r="D17" s="148">
        <v>960.8</v>
      </c>
      <c r="E17" s="148">
        <v>965.4</v>
      </c>
      <c r="F17" s="148">
        <v>932.8</v>
      </c>
      <c r="G17" s="148">
        <v>937.4</v>
      </c>
      <c r="H17" s="148">
        <v>4.5999999999999996</v>
      </c>
      <c r="I17" s="148">
        <v>1.0347500000000001</v>
      </c>
      <c r="J17" s="42">
        <v>30.790184049079748</v>
      </c>
      <c r="K17" s="43">
        <v>5.5172217853667886</v>
      </c>
      <c r="L17" s="149" t="s">
        <v>54</v>
      </c>
      <c r="M17" t="e">
        <f>INDEX('Сведения о залежах и флюидах'!A:G,MATCH(РИГИС!C17,'Сведения о залежах и флюидах'!A:A,0),7)</f>
        <v>#N/A</v>
      </c>
      <c r="N17" t="e">
        <f t="shared" si="0"/>
        <v>#N/A</v>
      </c>
      <c r="O17" t="e">
        <f t="shared" si="1"/>
        <v>#N/A</v>
      </c>
      <c r="S17" t="e">
        <f t="shared" si="2"/>
        <v>#N/A</v>
      </c>
    </row>
    <row r="18" spans="1:20" ht="15.5" hidden="1" x14ac:dyDescent="0.35">
      <c r="A18" s="41" t="s">
        <v>48</v>
      </c>
      <c r="B18" s="148" t="s">
        <v>139</v>
      </c>
      <c r="C18" s="149" t="s">
        <v>152</v>
      </c>
      <c r="D18" s="148">
        <v>970.6</v>
      </c>
      <c r="E18" s="148">
        <v>971.8</v>
      </c>
      <c r="F18" s="148">
        <v>942.6</v>
      </c>
      <c r="G18" s="148">
        <v>943.8</v>
      </c>
      <c r="H18" s="148">
        <v>1.2</v>
      </c>
      <c r="I18" s="148">
        <v>1.0643100000000001</v>
      </c>
      <c r="J18" s="42">
        <v>45.756441717791411</v>
      </c>
      <c r="K18" s="43">
        <v>356611.32224439585</v>
      </c>
      <c r="L18" s="149" t="s">
        <v>54</v>
      </c>
      <c r="M18" t="e">
        <f>INDEX('Сведения о залежах и флюидах'!A:G,MATCH(РИГИС!C18,'Сведения о залежах и флюидах'!A:A,0),7)</f>
        <v>#N/A</v>
      </c>
      <c r="N18" t="e">
        <f t="shared" si="0"/>
        <v>#N/A</v>
      </c>
      <c r="O18" t="e">
        <f t="shared" si="1"/>
        <v>#N/A</v>
      </c>
      <c r="S18" t="e">
        <f t="shared" si="2"/>
        <v>#N/A</v>
      </c>
    </row>
    <row r="19" spans="1:20" ht="15.5" hidden="1" x14ac:dyDescent="0.35">
      <c r="A19" s="41" t="s">
        <v>48</v>
      </c>
      <c r="B19" s="148" t="s">
        <v>139</v>
      </c>
      <c r="C19" s="149" t="s">
        <v>152</v>
      </c>
      <c r="D19" s="148">
        <v>979.6</v>
      </c>
      <c r="E19" s="148">
        <v>980.6</v>
      </c>
      <c r="F19" s="148">
        <v>951.6</v>
      </c>
      <c r="G19" s="148">
        <v>952.6</v>
      </c>
      <c r="H19" s="148">
        <v>1</v>
      </c>
      <c r="I19" s="148">
        <v>1.11527</v>
      </c>
      <c r="J19" s="42">
        <v>37.612883435582809</v>
      </c>
      <c r="K19" s="43">
        <v>860.3628766025198</v>
      </c>
      <c r="L19" s="149" t="s">
        <v>54</v>
      </c>
      <c r="M19" t="e">
        <f>INDEX('Сведения о залежах и флюидах'!A:G,MATCH(РИГИС!C19,'Сведения о залежах и флюидах'!A:A,0),7)</f>
        <v>#N/A</v>
      </c>
      <c r="N19" t="e">
        <f t="shared" si="0"/>
        <v>#N/A</v>
      </c>
      <c r="O19" t="e">
        <f t="shared" si="1"/>
        <v>#N/A</v>
      </c>
      <c r="S19" t="e">
        <f t="shared" si="2"/>
        <v>#N/A</v>
      </c>
    </row>
    <row r="20" spans="1:20" ht="15.5" hidden="1" x14ac:dyDescent="0.35">
      <c r="A20" s="41" t="s">
        <v>48</v>
      </c>
      <c r="B20" s="148" t="s">
        <v>139</v>
      </c>
      <c r="C20" s="149" t="s">
        <v>152</v>
      </c>
      <c r="D20" s="148">
        <v>983.8</v>
      </c>
      <c r="E20" s="148">
        <v>984.4</v>
      </c>
      <c r="F20" s="148">
        <v>955.8</v>
      </c>
      <c r="G20" s="148">
        <v>956.4</v>
      </c>
      <c r="H20" s="148">
        <v>0.6</v>
      </c>
      <c r="I20" s="148">
        <v>1.1128400000000001</v>
      </c>
      <c r="J20" s="42">
        <v>40.049079754601216</v>
      </c>
      <c r="K20" s="43">
        <v>5220.6810697355113</v>
      </c>
      <c r="L20" s="149" t="s">
        <v>54</v>
      </c>
      <c r="M20" t="e">
        <f>INDEX('Сведения о залежах и флюидах'!A:G,MATCH(РИГИС!C20,'Сведения о залежах и флюидах'!A:A,0),7)</f>
        <v>#N/A</v>
      </c>
      <c r="N20" t="e">
        <f t="shared" si="0"/>
        <v>#N/A</v>
      </c>
      <c r="O20" t="e">
        <f t="shared" si="1"/>
        <v>#N/A</v>
      </c>
      <c r="S20" t="e">
        <f t="shared" si="2"/>
        <v>#N/A</v>
      </c>
    </row>
    <row r="21" spans="1:20" ht="15.5" hidden="1" x14ac:dyDescent="0.35">
      <c r="A21" s="41" t="s">
        <v>48</v>
      </c>
      <c r="B21" s="148" t="s">
        <v>139</v>
      </c>
      <c r="C21" s="149" t="s">
        <v>152</v>
      </c>
      <c r="D21" s="148">
        <v>985</v>
      </c>
      <c r="E21" s="148">
        <v>988</v>
      </c>
      <c r="F21" s="148">
        <v>957</v>
      </c>
      <c r="G21" s="148">
        <v>960</v>
      </c>
      <c r="H21" s="148">
        <v>3</v>
      </c>
      <c r="I21" s="148">
        <v>1.0883799999999999</v>
      </c>
      <c r="J21" s="42">
        <v>38.791411042944794</v>
      </c>
      <c r="K21" s="43">
        <v>2058.1906117403291</v>
      </c>
      <c r="L21" s="149" t="s">
        <v>54</v>
      </c>
      <c r="M21" t="e">
        <f>INDEX('Сведения о залежах и флюидах'!A:G,MATCH(РИГИС!C21,'Сведения о залежах и флюидах'!A:A,0),7)</f>
        <v>#N/A</v>
      </c>
      <c r="N21" t="e">
        <f t="shared" si="0"/>
        <v>#N/A</v>
      </c>
      <c r="O21" t="e">
        <f t="shared" si="1"/>
        <v>#N/A</v>
      </c>
      <c r="S21" t="e">
        <f t="shared" si="2"/>
        <v>#N/A</v>
      </c>
    </row>
    <row r="22" spans="1:20" ht="15.5" hidden="1" x14ac:dyDescent="0.35">
      <c r="A22" s="41" t="s">
        <v>48</v>
      </c>
      <c r="B22" s="148" t="s">
        <v>139</v>
      </c>
      <c r="C22" s="149" t="s">
        <v>153</v>
      </c>
      <c r="D22" s="148">
        <v>1200.4000000000001</v>
      </c>
      <c r="E22" s="148">
        <v>1201.9000000000001</v>
      </c>
      <c r="F22" s="148">
        <v>1172.4000000000001</v>
      </c>
      <c r="G22" s="148">
        <v>1173.9000000000001</v>
      </c>
      <c r="H22" s="148">
        <v>1.5</v>
      </c>
      <c r="I22" s="148">
        <v>1.8604700000000001</v>
      </c>
      <c r="J22" s="42">
        <v>35.776073619631894</v>
      </c>
      <c r="K22" s="43">
        <v>220.9488672867478</v>
      </c>
      <c r="L22" s="149" t="s">
        <v>54</v>
      </c>
      <c r="M22" t="e">
        <f>INDEX('Сведения о залежах и флюидах'!A:G,MATCH(РИГИС!C22,'Сведения о залежах и флюидах'!A:A,0),7)</f>
        <v>#N/A</v>
      </c>
      <c r="N22" t="e">
        <f t="shared" si="0"/>
        <v>#N/A</v>
      </c>
      <c r="O22" t="e">
        <f t="shared" si="1"/>
        <v>#N/A</v>
      </c>
      <c r="S22" t="e">
        <f t="shared" si="2"/>
        <v>#N/A</v>
      </c>
    </row>
    <row r="23" spans="1:20" ht="15.5" hidden="1" x14ac:dyDescent="0.35">
      <c r="A23" s="41" t="s">
        <v>48</v>
      </c>
      <c r="B23" s="148" t="s">
        <v>139</v>
      </c>
      <c r="C23" s="149" t="s">
        <v>153</v>
      </c>
      <c r="D23" s="148">
        <v>1206.5999999999999</v>
      </c>
      <c r="E23" s="148">
        <v>1208.5</v>
      </c>
      <c r="F23" s="148">
        <v>1178.5999999999999</v>
      </c>
      <c r="G23" s="148">
        <v>1180.5</v>
      </c>
      <c r="H23" s="148">
        <v>1.9</v>
      </c>
      <c r="I23" s="148">
        <v>1.8165800000000001</v>
      </c>
      <c r="J23" s="42">
        <v>36.439263803680959</v>
      </c>
      <c r="K23" s="43">
        <v>360.95682766265395</v>
      </c>
      <c r="L23" s="149" t="s">
        <v>54</v>
      </c>
      <c r="M23" t="e">
        <f>INDEX('Сведения о залежах и флюидах'!A:G,MATCH(РИГИС!C23,'Сведения о залежах и флюидах'!A:A,0),7)</f>
        <v>#N/A</v>
      </c>
      <c r="N23" t="e">
        <f t="shared" si="0"/>
        <v>#N/A</v>
      </c>
      <c r="O23" t="e">
        <f t="shared" si="1"/>
        <v>#N/A</v>
      </c>
      <c r="S23" t="e">
        <f t="shared" si="2"/>
        <v>#N/A</v>
      </c>
    </row>
    <row r="24" spans="1:20" ht="15.75" hidden="1" customHeight="1" x14ac:dyDescent="0.35">
      <c r="A24" s="41" t="s">
        <v>48</v>
      </c>
      <c r="B24" s="148" t="s">
        <v>139</v>
      </c>
      <c r="C24" s="149" t="s">
        <v>153</v>
      </c>
      <c r="D24" s="148">
        <v>1209.0999999999999</v>
      </c>
      <c r="E24" s="148">
        <v>1211</v>
      </c>
      <c r="F24" s="148">
        <v>1181.0999999999999</v>
      </c>
      <c r="G24" s="148">
        <v>1183</v>
      </c>
      <c r="H24" s="148">
        <v>1.9</v>
      </c>
      <c r="I24" s="148">
        <v>1.6920500000000001</v>
      </c>
      <c r="J24" s="42">
        <v>36.428834355828208</v>
      </c>
      <c r="K24" s="43">
        <v>358.18138706359002</v>
      </c>
      <c r="L24" s="149" t="s">
        <v>54</v>
      </c>
      <c r="M24" t="e">
        <f>INDEX('Сведения о залежах и флюидах'!A:G,MATCH(РИГИС!C24,'Сведения о залежах и флюидах'!A:A,0),7)</f>
        <v>#N/A</v>
      </c>
      <c r="N24" t="e">
        <f t="shared" si="0"/>
        <v>#N/A</v>
      </c>
      <c r="O24" t="e">
        <f t="shared" si="1"/>
        <v>#N/A</v>
      </c>
      <c r="S24" t="e">
        <f t="shared" si="2"/>
        <v>#N/A</v>
      </c>
    </row>
    <row r="25" spans="1:20" ht="15.5" hidden="1" x14ac:dyDescent="0.35">
      <c r="A25" s="41" t="s">
        <v>48</v>
      </c>
      <c r="B25" s="148" t="s">
        <v>139</v>
      </c>
      <c r="C25" s="149" t="s">
        <v>153</v>
      </c>
      <c r="D25" s="148">
        <v>1212.4000000000001</v>
      </c>
      <c r="E25" s="148">
        <v>1213.2</v>
      </c>
      <c r="F25" s="148">
        <v>1184.4000000000001</v>
      </c>
      <c r="G25" s="148">
        <v>1185.2</v>
      </c>
      <c r="H25" s="148">
        <v>0.8</v>
      </c>
      <c r="I25" s="148">
        <v>1.6257200000000001</v>
      </c>
      <c r="J25" s="42">
        <v>32.358895705521448</v>
      </c>
      <c r="K25" s="43">
        <v>17.617239343127324</v>
      </c>
      <c r="L25" s="149" t="s">
        <v>54</v>
      </c>
      <c r="M25" t="e">
        <f>INDEX('Сведения о залежах и флюидах'!A:G,MATCH(РИГИС!C25,'Сведения о залежах и флюидах'!A:A,0),7)</f>
        <v>#N/A</v>
      </c>
      <c r="N25" t="e">
        <f t="shared" si="0"/>
        <v>#N/A</v>
      </c>
      <c r="O25" t="e">
        <f t="shared" si="1"/>
        <v>#N/A</v>
      </c>
      <c r="S25" t="e">
        <f t="shared" si="2"/>
        <v>#N/A</v>
      </c>
    </row>
    <row r="26" spans="1:20" ht="15.5" hidden="1" x14ac:dyDescent="0.35">
      <c r="A26" s="41" t="s">
        <v>48</v>
      </c>
      <c r="B26" s="148" t="s">
        <v>139</v>
      </c>
      <c r="C26" s="149" t="s">
        <v>153</v>
      </c>
      <c r="D26" s="148">
        <v>1215</v>
      </c>
      <c r="E26" s="148">
        <v>1215.8</v>
      </c>
      <c r="F26" s="148">
        <v>1187</v>
      </c>
      <c r="G26" s="148">
        <v>1187.8</v>
      </c>
      <c r="H26" s="148">
        <v>0.8</v>
      </c>
      <c r="I26" s="148">
        <v>1.6394299999999999</v>
      </c>
      <c r="J26" s="42">
        <v>31.472392638036805</v>
      </c>
      <c r="K26" s="43">
        <v>9.1410660152077483</v>
      </c>
      <c r="L26" s="149" t="s">
        <v>54</v>
      </c>
      <c r="M26" t="e">
        <f>INDEX('Сведения о залежах и флюидах'!A:G,MATCH(РИГИС!C26,'Сведения о залежах и флюидах'!A:A,0),7)</f>
        <v>#N/A</v>
      </c>
      <c r="N26" t="e">
        <f t="shared" si="0"/>
        <v>#N/A</v>
      </c>
      <c r="O26" t="e">
        <f t="shared" si="1"/>
        <v>#N/A</v>
      </c>
      <c r="S26" t="e">
        <f t="shared" si="2"/>
        <v>#N/A</v>
      </c>
    </row>
    <row r="27" spans="1:20" ht="15.5" hidden="1" x14ac:dyDescent="0.35">
      <c r="A27" s="41" t="s">
        <v>48</v>
      </c>
      <c r="B27" s="148" t="s">
        <v>139</v>
      </c>
      <c r="C27" s="149" t="s">
        <v>153</v>
      </c>
      <c r="D27" s="148">
        <v>1223</v>
      </c>
      <c r="E27" s="148">
        <v>1224.8</v>
      </c>
      <c r="F27" s="148">
        <v>1195</v>
      </c>
      <c r="G27" s="148">
        <v>1196.8</v>
      </c>
      <c r="H27" s="148">
        <v>1.8</v>
      </c>
      <c r="I27" s="148">
        <v>1.49109</v>
      </c>
      <c r="J27" s="42">
        <v>33.744171779141077</v>
      </c>
      <c r="K27" s="43">
        <v>49.112852038315523</v>
      </c>
      <c r="L27" s="149" t="s">
        <v>54</v>
      </c>
      <c r="M27" t="e">
        <f>INDEX('Сведения о залежах и флюидах'!A:G,MATCH(РИГИС!C27,'Сведения о залежах и флюидах'!A:A,0),7)</f>
        <v>#N/A</v>
      </c>
      <c r="N27" t="e">
        <f t="shared" si="0"/>
        <v>#N/A</v>
      </c>
      <c r="O27" t="e">
        <f t="shared" si="1"/>
        <v>#N/A</v>
      </c>
      <c r="S27" t="e">
        <f t="shared" si="2"/>
        <v>#N/A</v>
      </c>
    </row>
    <row r="28" spans="1:20" ht="15.5" hidden="1" x14ac:dyDescent="0.35">
      <c r="A28" s="41" t="s">
        <v>48</v>
      </c>
      <c r="B28" s="148" t="s">
        <v>139</v>
      </c>
      <c r="C28" s="149" t="s">
        <v>153</v>
      </c>
      <c r="D28" s="148">
        <v>1229.4000000000001</v>
      </c>
      <c r="E28" s="148">
        <v>1231.2</v>
      </c>
      <c r="F28" s="148">
        <v>1201.4000000000001</v>
      </c>
      <c r="G28" s="148">
        <v>1203.2</v>
      </c>
      <c r="H28" s="148">
        <v>1.8</v>
      </c>
      <c r="I28" s="148">
        <v>1.5392999999999999</v>
      </c>
      <c r="J28" s="42">
        <v>32.995705521472367</v>
      </c>
      <c r="K28" s="43">
        <v>28.224231317292759</v>
      </c>
      <c r="L28" s="149" t="s">
        <v>54</v>
      </c>
      <c r="M28" t="e">
        <f>INDEX('Сведения о залежах и флюидах'!A:G,MATCH(РИГИС!C28,'Сведения о залежах и флюидах'!A:A,0),7)</f>
        <v>#N/A</v>
      </c>
      <c r="N28" t="e">
        <f t="shared" si="0"/>
        <v>#N/A</v>
      </c>
      <c r="O28" t="e">
        <f t="shared" si="1"/>
        <v>#N/A</v>
      </c>
      <c r="S28" t="e">
        <f t="shared" si="2"/>
        <v>#N/A</v>
      </c>
    </row>
    <row r="29" spans="1:20" ht="15.5" hidden="1" x14ac:dyDescent="0.35">
      <c r="A29" s="41" t="s">
        <v>48</v>
      </c>
      <c r="B29" s="148" t="s">
        <v>139</v>
      </c>
      <c r="C29" s="149" t="s">
        <v>153</v>
      </c>
      <c r="D29" s="148">
        <v>1248.4000000000001</v>
      </c>
      <c r="E29" s="148">
        <v>1249.4000000000001</v>
      </c>
      <c r="F29" s="148">
        <v>1220.4000000000001</v>
      </c>
      <c r="G29" s="148">
        <v>1221.4000000000001</v>
      </c>
      <c r="H29" s="148">
        <v>1</v>
      </c>
      <c r="I29" s="148">
        <v>1.7091000000000001</v>
      </c>
      <c r="J29" s="42">
        <v>34.763803680981574</v>
      </c>
      <c r="K29" s="43">
        <v>104.45436979963995</v>
      </c>
      <c r="L29" s="149" t="s">
        <v>54</v>
      </c>
      <c r="M29" t="e">
        <f>INDEX('Сведения о залежах и флюидах'!A:G,MATCH(РИГИС!C29,'Сведения о залежах и флюидах'!A:A,0),7)</f>
        <v>#N/A</v>
      </c>
      <c r="N29" t="e">
        <f t="shared" si="0"/>
        <v>#N/A</v>
      </c>
      <c r="O29" t="e">
        <f t="shared" si="1"/>
        <v>#N/A</v>
      </c>
      <c r="S29" t="e">
        <f t="shared" si="2"/>
        <v>#N/A</v>
      </c>
    </row>
    <row r="30" spans="1:20" ht="15.5" x14ac:dyDescent="0.35">
      <c r="A30" s="41" t="s">
        <v>48</v>
      </c>
      <c r="B30" s="148" t="s">
        <v>139</v>
      </c>
      <c r="C30" s="149" t="s">
        <v>91</v>
      </c>
      <c r="D30" s="148">
        <v>1279.5999999999999</v>
      </c>
      <c r="E30" s="148">
        <v>1280.5999999999999</v>
      </c>
      <c r="F30" s="148">
        <v>1251.5999999999999</v>
      </c>
      <c r="G30" s="148">
        <v>1252.5999999999999</v>
      </c>
      <c r="H30" s="148">
        <v>1</v>
      </c>
      <c r="I30" s="148">
        <v>2.7347100000000002</v>
      </c>
      <c r="J30" s="42">
        <v>33.552147239263775</v>
      </c>
      <c r="K30" s="43">
        <v>42.606353736333375</v>
      </c>
      <c r="L30" s="149" t="s">
        <v>53</v>
      </c>
      <c r="M30">
        <f>INDEX('Сведения о залежах и флюидах'!A:G,MATCH(РИГИС!C30,'Сведения о залежах и флюидах'!A:A,0),7)</f>
        <v>1305.7168757208424</v>
      </c>
      <c r="N30">
        <f>M30-G30</f>
        <v>53.116875720842472</v>
      </c>
      <c r="O30">
        <f t="shared" si="1"/>
        <v>0.40675174040369794</v>
      </c>
      <c r="P30" s="172">
        <f xml:space="preserve"> -9.228* LN(K30) + 87.252</f>
        <v>52.628512708830371</v>
      </c>
      <c r="Q30" s="172">
        <f>0.4265 *K30^(-0.313)</f>
        <v>0.13179336845392034</v>
      </c>
      <c r="R30" s="172">
        <v>0.71</v>
      </c>
      <c r="S30">
        <f>(P30*O30^(1/R30)+100*Q30^(1/R30))/(O30^(1/R30)+Q30^(1/R30))</f>
        <v>60.670634653146372</v>
      </c>
      <c r="T30">
        <f>100-S30</f>
        <v>39.329365346853628</v>
      </c>
    </row>
    <row r="31" spans="1:20" ht="15.5" x14ac:dyDescent="0.35">
      <c r="A31" s="41" t="s">
        <v>48</v>
      </c>
      <c r="B31" s="148" t="s">
        <v>139</v>
      </c>
      <c r="C31" s="149" t="s">
        <v>91</v>
      </c>
      <c r="D31" s="148">
        <v>1280.5999999999999</v>
      </c>
      <c r="E31" s="148">
        <v>1281.4000000000001</v>
      </c>
      <c r="F31" s="148">
        <v>1252.5999999999999</v>
      </c>
      <c r="G31" s="148">
        <v>1253.4000000000001</v>
      </c>
      <c r="H31" s="148">
        <v>0.8</v>
      </c>
      <c r="I31" s="148">
        <v>2.2219799999999998</v>
      </c>
      <c r="J31" s="42">
        <v>34.003067484662559</v>
      </c>
      <c r="K31" s="43">
        <v>59.485314354376776</v>
      </c>
      <c r="L31" s="149" t="s">
        <v>53</v>
      </c>
      <c r="M31">
        <f>INDEX('Сведения о залежах и флюидах'!A:G,MATCH(РИГИС!C31,'Сведения о залежах и флюидах'!A:A,0),7)</f>
        <v>1305.7168757208424</v>
      </c>
      <c r="N31">
        <f t="shared" si="0"/>
        <v>52.31687572084229</v>
      </c>
      <c r="O31">
        <f t="shared" si="1"/>
        <v>0.40062560086881288</v>
      </c>
      <c r="P31" s="172">
        <f t="shared" ref="P31:P47" si="3" xml:space="preserve"> -9.228* LN(K31) + 87.252</f>
        <v>49.548888501468369</v>
      </c>
      <c r="Q31" s="172">
        <f t="shared" ref="Q31:Q47" si="4">0.4265 *K31^(-0.313)</f>
        <v>0.11872133740256779</v>
      </c>
      <c r="R31" s="172">
        <v>0.71</v>
      </c>
      <c r="S31">
        <f t="shared" si="2"/>
        <v>57.256389246895694</v>
      </c>
      <c r="T31">
        <f t="shared" ref="T31:T47" si="5">100-S31</f>
        <v>42.743610753104306</v>
      </c>
    </row>
    <row r="32" spans="1:20" ht="15.5" x14ac:dyDescent="0.35">
      <c r="A32" s="41" t="s">
        <v>48</v>
      </c>
      <c r="B32" s="148" t="s">
        <v>139</v>
      </c>
      <c r="C32" s="149" t="s">
        <v>91</v>
      </c>
      <c r="D32" s="148">
        <v>1281.4000000000001</v>
      </c>
      <c r="E32" s="148">
        <v>1283.5999999999999</v>
      </c>
      <c r="F32" s="148">
        <v>1253.4000000000001</v>
      </c>
      <c r="G32" s="148">
        <v>1255.5999999999999</v>
      </c>
      <c r="H32" s="148">
        <v>2.2000000000000002</v>
      </c>
      <c r="I32" s="148">
        <v>2.4613100000000001</v>
      </c>
      <c r="J32" s="42">
        <v>33.854601226993857</v>
      </c>
      <c r="K32" s="43">
        <v>53.295376747519128</v>
      </c>
      <c r="L32" s="149" t="s">
        <v>53</v>
      </c>
      <c r="M32">
        <f>INDEX('Сведения о залежах и флюидах'!A:G,MATCH(РИГИС!C32,'Сведения о залежах и флюидах'!A:A,0),7)</f>
        <v>1305.7168757208424</v>
      </c>
      <c r="N32">
        <f t="shared" si="0"/>
        <v>50.116875720842472</v>
      </c>
      <c r="O32">
        <f t="shared" si="1"/>
        <v>0.38377871714788403</v>
      </c>
      <c r="P32" s="172">
        <f t="shared" si="3"/>
        <v>50.562860009198332</v>
      </c>
      <c r="Q32" s="172">
        <f t="shared" si="4"/>
        <v>0.12287547524046856</v>
      </c>
      <c r="R32" s="172">
        <v>0.71</v>
      </c>
      <c r="S32">
        <f t="shared" si="2"/>
        <v>58.839258491506484</v>
      </c>
      <c r="T32">
        <f t="shared" si="5"/>
        <v>41.160741508493516</v>
      </c>
    </row>
    <row r="33" spans="1:20" ht="15.5" x14ac:dyDescent="0.35">
      <c r="A33" s="41" t="s">
        <v>48</v>
      </c>
      <c r="B33" s="148" t="s">
        <v>139</v>
      </c>
      <c r="C33" s="149" t="s">
        <v>91</v>
      </c>
      <c r="D33" s="148">
        <v>1285</v>
      </c>
      <c r="E33" s="148">
        <v>1286.4000000000001</v>
      </c>
      <c r="F33" s="148">
        <v>1257</v>
      </c>
      <c r="G33" s="148">
        <v>1258.4000000000001</v>
      </c>
      <c r="H33" s="148">
        <v>1.4</v>
      </c>
      <c r="I33" s="148">
        <v>2.5329100000000002</v>
      </c>
      <c r="J33" s="42">
        <v>35.679754601226982</v>
      </c>
      <c r="K33" s="43">
        <v>205.74665863185868</v>
      </c>
      <c r="L33" s="149" t="s">
        <v>53</v>
      </c>
      <c r="M33">
        <f>INDEX('Сведения о залежах и флюидах'!A:G,MATCH(РИГИС!C33,'Сведения о залежах и флюидах'!A:A,0),7)</f>
        <v>1305.7168757208424</v>
      </c>
      <c r="N33">
        <f t="shared" si="0"/>
        <v>47.31687572084229</v>
      </c>
      <c r="O33">
        <f t="shared" si="1"/>
        <v>0.36233722877578961</v>
      </c>
      <c r="P33" s="172">
        <f t="shared" si="3"/>
        <v>38.097714407971374</v>
      </c>
      <c r="Q33" s="172">
        <f t="shared" si="4"/>
        <v>8.0509266877803159E-2</v>
      </c>
      <c r="R33" s="172">
        <v>0.71</v>
      </c>
      <c r="S33">
        <f t="shared" si="2"/>
        <v>44.739984270847749</v>
      </c>
      <c r="T33">
        <f t="shared" si="5"/>
        <v>55.260015729152251</v>
      </c>
    </row>
    <row r="34" spans="1:20" ht="15.5" x14ac:dyDescent="0.35">
      <c r="A34" s="41" t="s">
        <v>48</v>
      </c>
      <c r="B34" s="148" t="s">
        <v>139</v>
      </c>
      <c r="C34" s="149" t="s">
        <v>92</v>
      </c>
      <c r="D34" s="148">
        <v>1318.8</v>
      </c>
      <c r="E34" s="148">
        <v>1320</v>
      </c>
      <c r="F34" s="148">
        <v>1290.8</v>
      </c>
      <c r="G34" s="148">
        <v>1292</v>
      </c>
      <c r="H34" s="148">
        <v>1.2</v>
      </c>
      <c r="I34" s="148">
        <v>2.7513000000000001</v>
      </c>
      <c r="J34" s="42">
        <v>32.481595092024527</v>
      </c>
      <c r="K34" s="43">
        <v>19.29194684126594</v>
      </c>
      <c r="L34" s="149" t="s">
        <v>53</v>
      </c>
      <c r="M34">
        <f>INDEX('Сведения о залежах и флюидах'!A:G,MATCH(РИГИС!C34,'Сведения о залежах и флюидах'!A:A,0),7)</f>
        <v>1433.3296847826723</v>
      </c>
      <c r="N34">
        <f t="shared" si="0"/>
        <v>141.3296847826723</v>
      </c>
      <c r="O34">
        <f t="shared" si="1"/>
        <v>1.082256711749729</v>
      </c>
      <c r="P34" s="172">
        <f t="shared" si="3"/>
        <v>59.940001473247456</v>
      </c>
      <c r="Q34" s="172">
        <f t="shared" si="4"/>
        <v>0.16888704221781173</v>
      </c>
      <c r="R34" s="172">
        <v>0.71</v>
      </c>
      <c r="S34">
        <f t="shared" si="2"/>
        <v>62.667953840516269</v>
      </c>
      <c r="T34">
        <f t="shared" si="5"/>
        <v>37.332046159483731</v>
      </c>
    </row>
    <row r="35" spans="1:20" ht="15.5" x14ac:dyDescent="0.35">
      <c r="A35" s="41" t="s">
        <v>48</v>
      </c>
      <c r="B35" s="148" t="s">
        <v>139</v>
      </c>
      <c r="C35" s="149" t="s">
        <v>92</v>
      </c>
      <c r="D35" s="148">
        <v>1320</v>
      </c>
      <c r="E35" s="148">
        <v>1323.6</v>
      </c>
      <c r="F35" s="148">
        <v>1292</v>
      </c>
      <c r="G35" s="148">
        <v>1295.5999999999999</v>
      </c>
      <c r="H35" s="148">
        <v>3.6</v>
      </c>
      <c r="I35" s="148">
        <v>2.7804199999999999</v>
      </c>
      <c r="J35" s="42">
        <v>35.113496932515318</v>
      </c>
      <c r="K35" s="43">
        <v>135.30862750267997</v>
      </c>
      <c r="L35" s="149" t="s">
        <v>53</v>
      </c>
      <c r="M35">
        <f>INDEX('Сведения о залежах и флюидах'!A:G,MATCH(РИГИС!C35,'Сведения о залежах и флюидах'!A:A,0),7)</f>
        <v>1433.3296847826723</v>
      </c>
      <c r="N35">
        <f t="shared" si="0"/>
        <v>137.72968478267239</v>
      </c>
      <c r="O35">
        <f t="shared" si="1"/>
        <v>1.054689083842753</v>
      </c>
      <c r="P35" s="172">
        <f t="shared" si="3"/>
        <v>41.965052018032793</v>
      </c>
      <c r="Q35" s="172">
        <f t="shared" si="4"/>
        <v>9.1793970935481681E-2</v>
      </c>
      <c r="R35" s="172">
        <v>0.71</v>
      </c>
      <c r="S35">
        <f t="shared" si="2"/>
        <v>43.77043741572232</v>
      </c>
      <c r="T35">
        <f t="shared" si="5"/>
        <v>56.22956258427768</v>
      </c>
    </row>
    <row r="36" spans="1:20" ht="15.5" x14ac:dyDescent="0.35">
      <c r="A36" s="41" t="s">
        <v>48</v>
      </c>
      <c r="B36" s="148" t="s">
        <v>139</v>
      </c>
      <c r="C36" s="149" t="s">
        <v>92</v>
      </c>
      <c r="D36" s="148">
        <v>1325.6</v>
      </c>
      <c r="E36" s="148">
        <v>1327.3</v>
      </c>
      <c r="F36" s="148">
        <v>1297.5999999999999</v>
      </c>
      <c r="G36" s="148">
        <v>1299.3</v>
      </c>
      <c r="H36" s="148">
        <v>1.7</v>
      </c>
      <c r="I36" s="148">
        <v>4.3676599999999999</v>
      </c>
      <c r="J36" s="42">
        <v>31.902453987730041</v>
      </c>
      <c r="K36" s="43">
        <v>12.566887963191729</v>
      </c>
      <c r="L36" s="149" t="s">
        <v>53</v>
      </c>
      <c r="M36">
        <f>INDEX('Сведения о залежах и флюидах'!A:G,MATCH(РИГИС!C36,'Сведения о залежах и флюидах'!A:A,0),7)</f>
        <v>1433.3296847826723</v>
      </c>
      <c r="N36">
        <f t="shared" si="0"/>
        <v>134.02968478267235</v>
      </c>
      <c r="O36">
        <f t="shared" si="1"/>
        <v>1.0263556884939153</v>
      </c>
      <c r="P36" s="172">
        <f t="shared" si="3"/>
        <v>63.895328346376331</v>
      </c>
      <c r="Q36" s="172">
        <f t="shared" si="4"/>
        <v>0.19313489679914861</v>
      </c>
      <c r="R36" s="172">
        <v>0.71</v>
      </c>
      <c r="S36">
        <f t="shared" si="2"/>
        <v>67.031215872439816</v>
      </c>
      <c r="T36">
        <f t="shared" si="5"/>
        <v>32.968784127560184</v>
      </c>
    </row>
    <row r="37" spans="1:20" ht="15.5" x14ac:dyDescent="0.35">
      <c r="A37" s="41" t="s">
        <v>48</v>
      </c>
      <c r="B37" s="148" t="s">
        <v>139</v>
      </c>
      <c r="C37" s="149" t="s">
        <v>92</v>
      </c>
      <c r="D37" s="148">
        <v>1328.4</v>
      </c>
      <c r="E37" s="148">
        <v>1329.1</v>
      </c>
      <c r="F37" s="148">
        <v>1300.4000000000001</v>
      </c>
      <c r="G37" s="148">
        <v>1301.0999999999999</v>
      </c>
      <c r="H37" s="148">
        <v>0.7</v>
      </c>
      <c r="I37" s="148">
        <v>2.8525299999999998</v>
      </c>
      <c r="J37" s="42">
        <v>31.134969325153367</v>
      </c>
      <c r="K37" s="43">
        <v>7.1210131856893089</v>
      </c>
      <c r="L37" s="149" t="s">
        <v>53</v>
      </c>
      <c r="M37">
        <f>INDEX('Сведения о залежах и флюидах'!A:G,MATCH(РИГИС!C37,'Сведения о залежах и флюидах'!A:A,0),7)</f>
        <v>1433.3296847826723</v>
      </c>
      <c r="N37">
        <f t="shared" ref="N37:N68" si="6">M37-G37</f>
        <v>132.22968478267239</v>
      </c>
      <c r="O37">
        <f t="shared" si="1"/>
        <v>1.0125718745404273</v>
      </c>
      <c r="P37" s="172">
        <f t="shared" si="3"/>
        <v>69.136974446253532</v>
      </c>
      <c r="Q37" s="172">
        <f t="shared" si="4"/>
        <v>0.23071373779514137</v>
      </c>
      <c r="R37" s="172">
        <v>0.71</v>
      </c>
      <c r="S37">
        <f t="shared" si="2"/>
        <v>72.554763681789311</v>
      </c>
      <c r="T37">
        <f t="shared" si="5"/>
        <v>27.445236318210689</v>
      </c>
    </row>
    <row r="38" spans="1:20" ht="15.5" x14ac:dyDescent="0.35">
      <c r="A38" s="41" t="s">
        <v>48</v>
      </c>
      <c r="B38" s="148" t="s">
        <v>139</v>
      </c>
      <c r="C38" s="149" t="s">
        <v>92</v>
      </c>
      <c r="D38" s="148">
        <v>1332.6</v>
      </c>
      <c r="E38" s="148">
        <v>1333.4</v>
      </c>
      <c r="F38" s="148">
        <v>1304.5999999999999</v>
      </c>
      <c r="G38" s="148">
        <v>1305.4000000000001</v>
      </c>
      <c r="H38" s="148">
        <v>0.8</v>
      </c>
      <c r="I38" s="148">
        <v>1.9469399999999999</v>
      </c>
      <c r="J38" s="42">
        <v>33.122699386503058</v>
      </c>
      <c r="K38" s="43">
        <v>31.005637260496979</v>
      </c>
      <c r="L38" s="149" t="s">
        <v>53</v>
      </c>
      <c r="M38">
        <f>INDEX('Сведения о залежах и флюидах'!A:G,MATCH(РИГИС!C38,'Сведения о залежах и флюидах'!A:A,0),7)</f>
        <v>1433.3296847826723</v>
      </c>
      <c r="N38">
        <f t="shared" si="6"/>
        <v>127.92968478267221</v>
      </c>
      <c r="O38">
        <f t="shared" si="1"/>
        <v>0.97964387454042601</v>
      </c>
      <c r="P38" s="172">
        <f t="shared" si="3"/>
        <v>55.561488144413069</v>
      </c>
      <c r="Q38" s="172">
        <f t="shared" si="4"/>
        <v>0.1455787910018497</v>
      </c>
      <c r="R38" s="172">
        <v>0.71</v>
      </c>
      <c r="S38">
        <f t="shared" si="2"/>
        <v>58.399067210472872</v>
      </c>
      <c r="T38">
        <f t="shared" si="5"/>
        <v>41.600932789527128</v>
      </c>
    </row>
    <row r="39" spans="1:20" ht="15.5" x14ac:dyDescent="0.35">
      <c r="A39" s="41" t="s">
        <v>48</v>
      </c>
      <c r="B39" s="148" t="s">
        <v>139</v>
      </c>
      <c r="C39" s="149" t="s">
        <v>94</v>
      </c>
      <c r="D39" s="148">
        <v>1361.4</v>
      </c>
      <c r="E39" s="148">
        <v>1363.8</v>
      </c>
      <c r="F39" s="148">
        <v>1333.4</v>
      </c>
      <c r="G39" s="148">
        <v>1335.8</v>
      </c>
      <c r="H39" s="148">
        <v>2.4</v>
      </c>
      <c r="I39" s="148">
        <v>2.1769599999999998</v>
      </c>
      <c r="J39" s="42">
        <v>35.024539877300583</v>
      </c>
      <c r="K39" s="43">
        <v>126.68721597869978</v>
      </c>
      <c r="L39" s="149" t="s">
        <v>53</v>
      </c>
      <c r="M39">
        <f>INDEX('Сведения о залежах и флюидах'!A:G,MATCH(РИГИС!C39,'Сведения о залежах и флюидах'!A:A,0),7)</f>
        <v>1503.7061468245649</v>
      </c>
      <c r="N39">
        <f>M39-G39</f>
        <v>167.90614682456498</v>
      </c>
      <c r="O39">
        <f t="shared" si="1"/>
        <v>1.2857706052649482</v>
      </c>
      <c r="P39" s="172">
        <f t="shared" si="3"/>
        <v>42.572596929689297</v>
      </c>
      <c r="Q39" s="172">
        <f t="shared" si="4"/>
        <v>9.3705195586585743E-2</v>
      </c>
      <c r="R39" s="172">
        <v>0.71</v>
      </c>
      <c r="S39">
        <f t="shared" si="2"/>
        <v>43.973543511833867</v>
      </c>
      <c r="T39">
        <f t="shared" si="5"/>
        <v>56.026456488166133</v>
      </c>
    </row>
    <row r="40" spans="1:20" ht="15.5" x14ac:dyDescent="0.35">
      <c r="A40" s="41" t="s">
        <v>48</v>
      </c>
      <c r="B40" s="148" t="s">
        <v>139</v>
      </c>
      <c r="C40" s="149" t="s">
        <v>94</v>
      </c>
      <c r="D40" s="148">
        <v>1365.5</v>
      </c>
      <c r="E40" s="148">
        <v>1366</v>
      </c>
      <c r="F40" s="148">
        <v>1337.5</v>
      </c>
      <c r="G40" s="148">
        <v>1338</v>
      </c>
      <c r="H40" s="148">
        <v>0.5</v>
      </c>
      <c r="I40" s="148">
        <v>1.78979</v>
      </c>
      <c r="J40" s="42">
        <v>31.588957055214724</v>
      </c>
      <c r="K40" s="43">
        <v>9.9646749670756378</v>
      </c>
      <c r="L40" s="149" t="s">
        <v>53</v>
      </c>
      <c r="M40">
        <f>INDEX('Сведения о залежах и флюидах'!A:G,MATCH(РИГИС!C40,'Сведения о залежах и флюидах'!A:A,0),7)</f>
        <v>1503.7061468245649</v>
      </c>
      <c r="N40">
        <f t="shared" si="6"/>
        <v>165.70614682456494</v>
      </c>
      <c r="O40">
        <f>(9.8*(1.006-0.726)*N40*72*1)/(1000*30*0.86)</f>
        <v>1.2689237215440177</v>
      </c>
      <c r="P40" s="172">
        <f t="shared" si="3"/>
        <v>66.036400414351661</v>
      </c>
      <c r="Q40" s="172">
        <f t="shared" si="4"/>
        <v>0.20768258155079961</v>
      </c>
      <c r="R40" s="172">
        <v>0.71</v>
      </c>
      <c r="S40">
        <f t="shared" si="2"/>
        <v>68.498150067863463</v>
      </c>
      <c r="T40">
        <f t="shared" si="5"/>
        <v>31.501849932136537</v>
      </c>
    </row>
    <row r="41" spans="1:20" ht="15.5" x14ac:dyDescent="0.35">
      <c r="A41" s="41" t="s">
        <v>48</v>
      </c>
      <c r="B41" s="148" t="s">
        <v>139</v>
      </c>
      <c r="C41" s="149" t="s">
        <v>94</v>
      </c>
      <c r="D41" s="148">
        <v>1366</v>
      </c>
      <c r="E41" s="148">
        <v>1367</v>
      </c>
      <c r="F41" s="148">
        <v>1338</v>
      </c>
      <c r="G41" s="148">
        <v>1339</v>
      </c>
      <c r="H41" s="148">
        <v>1</v>
      </c>
      <c r="I41" s="148">
        <v>2.2784200000000001</v>
      </c>
      <c r="J41" s="42">
        <v>31.512269938650288</v>
      </c>
      <c r="K41" s="43">
        <v>9.4148685543442809</v>
      </c>
      <c r="L41" s="149" t="s">
        <v>53</v>
      </c>
      <c r="M41">
        <f>INDEX('Сведения о залежах и флюидах'!A:G,MATCH(РИГИС!C41,'Сведения о залежах и флюидах'!A:A,0),7)</f>
        <v>1503.7061468245649</v>
      </c>
      <c r="N41">
        <f t="shared" si="6"/>
        <v>164.70614682456494</v>
      </c>
      <c r="O41">
        <f t="shared" si="1"/>
        <v>1.2612660471254129</v>
      </c>
      <c r="P41" s="172">
        <f xml:space="preserve"> -9.228* LN(K41) + 87.252</f>
        <v>66.560146027848731</v>
      </c>
      <c r="Q41" s="172">
        <f t="shared" si="4"/>
        <v>0.21140495964453215</v>
      </c>
      <c r="R41" s="172">
        <v>0.71</v>
      </c>
      <c r="S41">
        <f>(P41*O41^(1/R41)+100*Q41^(1/R41))/(O41^(1/R41)+Q41^(1/R41))</f>
        <v>69.060438792944254</v>
      </c>
      <c r="T41">
        <f t="shared" si="5"/>
        <v>30.939561207055746</v>
      </c>
    </row>
    <row r="42" spans="1:20" ht="15.5" x14ac:dyDescent="0.35">
      <c r="A42" s="41" t="s">
        <v>48</v>
      </c>
      <c r="B42" s="148" t="s">
        <v>139</v>
      </c>
      <c r="C42" s="149" t="s">
        <v>94</v>
      </c>
      <c r="D42" s="148">
        <v>1368.6</v>
      </c>
      <c r="E42" s="148">
        <v>1369.6</v>
      </c>
      <c r="F42" s="148">
        <v>1340.6</v>
      </c>
      <c r="G42" s="148">
        <v>1341.6</v>
      </c>
      <c r="H42" s="148">
        <v>1</v>
      </c>
      <c r="I42" s="148">
        <v>1.9297299999999999</v>
      </c>
      <c r="J42" s="42">
        <v>32.095092024539866</v>
      </c>
      <c r="K42" s="43">
        <v>14.492580466134918</v>
      </c>
      <c r="L42" s="149" t="s">
        <v>53</v>
      </c>
      <c r="M42">
        <f>INDEX('Сведения о залежах и флюидах'!A:G,MATCH(РИГИС!C42,'Сведения о залежах и флюидах'!A:A,0),7)</f>
        <v>1503.7061468245649</v>
      </c>
      <c r="N42">
        <f t="shared" si="6"/>
        <v>162.10614682456503</v>
      </c>
      <c r="O42">
        <f t="shared" si="1"/>
        <v>1.2413560936370416</v>
      </c>
      <c r="P42" s="172">
        <f t="shared" si="3"/>
        <v>62.579679365271986</v>
      </c>
      <c r="Q42" s="172">
        <f t="shared" si="4"/>
        <v>0.18470575405598597</v>
      </c>
      <c r="R42" s="172">
        <v>0.71</v>
      </c>
      <c r="S42">
        <f t="shared" si="2"/>
        <v>64.973141714601397</v>
      </c>
      <c r="T42">
        <f t="shared" si="5"/>
        <v>35.026858285398603</v>
      </c>
    </row>
    <row r="43" spans="1:20" ht="15.5" x14ac:dyDescent="0.35">
      <c r="A43" s="41" t="s">
        <v>48</v>
      </c>
      <c r="B43" s="148" t="s">
        <v>139</v>
      </c>
      <c r="C43" s="149" t="s">
        <v>94</v>
      </c>
      <c r="D43" s="148">
        <v>1369.6</v>
      </c>
      <c r="E43" s="148">
        <v>1370.4</v>
      </c>
      <c r="F43" s="148">
        <v>1341.6</v>
      </c>
      <c r="G43" s="148">
        <v>1342.4</v>
      </c>
      <c r="H43" s="148">
        <v>0.8</v>
      </c>
      <c r="I43" s="148">
        <v>1.74092</v>
      </c>
      <c r="J43" s="42">
        <v>31.831288343558263</v>
      </c>
      <c r="K43" s="43">
        <v>11.922122670674195</v>
      </c>
      <c r="L43" s="149" t="s">
        <v>53</v>
      </c>
      <c r="M43">
        <f>INDEX('Сведения о залежах и флюидах'!A:G,MATCH(РИГИС!C43,'Сведения о залежах и флюидах'!A:A,0),7)</f>
        <v>1503.7061468245649</v>
      </c>
      <c r="N43">
        <f t="shared" si="6"/>
        <v>161.30614682456485</v>
      </c>
      <c r="O43">
        <f t="shared" si="1"/>
        <v>1.2352299541021565</v>
      </c>
      <c r="P43" s="172">
        <f t="shared" si="3"/>
        <v>64.381364275701486</v>
      </c>
      <c r="Q43" s="172">
        <f t="shared" si="4"/>
        <v>0.19634523363502579</v>
      </c>
      <c r="R43" s="172">
        <v>0.71</v>
      </c>
      <c r="S43">
        <f t="shared" si="2"/>
        <v>66.866228328470186</v>
      </c>
      <c r="T43">
        <f t="shared" si="5"/>
        <v>33.133771671529814</v>
      </c>
    </row>
    <row r="44" spans="1:20" ht="15.5" x14ac:dyDescent="0.35">
      <c r="A44" s="41" t="s">
        <v>48</v>
      </c>
      <c r="B44" s="148" t="s">
        <v>139</v>
      </c>
      <c r="C44" s="149" t="s">
        <v>94</v>
      </c>
      <c r="D44" s="148">
        <v>1371.9</v>
      </c>
      <c r="E44" s="148">
        <v>1373.4</v>
      </c>
      <c r="F44" s="148">
        <v>1343.9</v>
      </c>
      <c r="G44" s="148">
        <v>1345.4</v>
      </c>
      <c r="H44" s="148">
        <v>1.5</v>
      </c>
      <c r="I44" s="148">
        <v>1.6964300000000001</v>
      </c>
      <c r="J44" s="42">
        <v>31.87484662576686</v>
      </c>
      <c r="K44" s="43">
        <v>12.312724093808061</v>
      </c>
      <c r="L44" s="149" t="s">
        <v>53</v>
      </c>
      <c r="M44">
        <f>INDEX('Сведения о залежах и флюидах'!A:G,MATCH(РИГИС!C44,'Сведения о залежах и флюидах'!A:A,0),7)</f>
        <v>1503.7061468245649</v>
      </c>
      <c r="N44">
        <f t="shared" si="6"/>
        <v>158.30614682456485</v>
      </c>
      <c r="O44">
        <f t="shared" si="1"/>
        <v>1.2122569308463427</v>
      </c>
      <c r="P44" s="172">
        <f t="shared" si="3"/>
        <v>64.083876767235168</v>
      </c>
      <c r="Q44" s="172">
        <f t="shared" si="4"/>
        <v>0.19437400679600442</v>
      </c>
      <c r="R44" s="172">
        <v>0.71</v>
      </c>
      <c r="S44">
        <f t="shared" si="2"/>
        <v>66.618149667227584</v>
      </c>
      <c r="T44">
        <f t="shared" si="5"/>
        <v>33.381850332772416</v>
      </c>
    </row>
    <row r="45" spans="1:20" ht="15.5" x14ac:dyDescent="0.35">
      <c r="A45" s="41" t="s">
        <v>48</v>
      </c>
      <c r="B45" s="148" t="s">
        <v>139</v>
      </c>
      <c r="C45" s="149" t="s">
        <v>94</v>
      </c>
      <c r="D45" s="148">
        <v>1373.8</v>
      </c>
      <c r="E45" s="148">
        <v>1374.4</v>
      </c>
      <c r="F45" s="148">
        <v>1345.8</v>
      </c>
      <c r="G45" s="148">
        <v>1346.4</v>
      </c>
      <c r="H45" s="148">
        <v>0.6</v>
      </c>
      <c r="I45" s="148">
        <v>2.5408300000000001</v>
      </c>
      <c r="J45" s="42">
        <v>31.833742331288335</v>
      </c>
      <c r="K45" s="43">
        <v>11.943795260865544</v>
      </c>
      <c r="L45" s="149" t="s">
        <v>53</v>
      </c>
      <c r="M45">
        <f>INDEX('Сведения о залежах и флюидах'!A:G,MATCH(РИГИС!C45,'Сведения о залежах и флюидах'!A:A,0),7)</f>
        <v>1503.7061468245649</v>
      </c>
      <c r="N45">
        <f t="shared" si="6"/>
        <v>157.30614682456485</v>
      </c>
      <c r="O45">
        <f t="shared" si="1"/>
        <v>1.2045992564277379</v>
      </c>
      <c r="P45" s="172">
        <f t="shared" si="3"/>
        <v>64.364604416069511</v>
      </c>
      <c r="Q45" s="172">
        <f t="shared" si="4"/>
        <v>0.19623364908768018</v>
      </c>
      <c r="R45" s="172">
        <v>0.71</v>
      </c>
      <c r="S45">
        <f t="shared" si="2"/>
        <v>66.931773146372151</v>
      </c>
      <c r="T45">
        <f t="shared" si="5"/>
        <v>33.068226853627849</v>
      </c>
    </row>
    <row r="46" spans="1:20" ht="15.5" x14ac:dyDescent="0.35">
      <c r="A46" s="41" t="s">
        <v>48</v>
      </c>
      <c r="B46" s="148" t="s">
        <v>139</v>
      </c>
      <c r="C46" s="149" t="s">
        <v>94</v>
      </c>
      <c r="D46" s="148">
        <v>1374.4</v>
      </c>
      <c r="E46" s="148">
        <v>1375.7</v>
      </c>
      <c r="F46" s="148">
        <v>1346.4</v>
      </c>
      <c r="G46" s="148">
        <v>1347.7</v>
      </c>
      <c r="H46" s="148">
        <v>1.3</v>
      </c>
      <c r="I46" s="148">
        <v>1.99404</v>
      </c>
      <c r="J46" s="42">
        <v>33.858895705521462</v>
      </c>
      <c r="K46" s="43">
        <v>53.465037241736127</v>
      </c>
      <c r="L46" s="149" t="s">
        <v>53</v>
      </c>
      <c r="M46">
        <f>INDEX('Сведения о залежах и флюидах'!A:G,MATCH(РИГИС!C46,'Сведения о залежах и флюидах'!A:A,0),7)</f>
        <v>1503.7061468245649</v>
      </c>
      <c r="N46">
        <f t="shared" si="6"/>
        <v>156.00614682456489</v>
      </c>
      <c r="O46">
        <f t="shared" si="1"/>
        <v>1.1946442796835521</v>
      </c>
      <c r="P46" s="172">
        <f t="shared" si="3"/>
        <v>50.533530254842532</v>
      </c>
      <c r="Q46" s="172">
        <f t="shared" si="4"/>
        <v>0.1227532968546516</v>
      </c>
      <c r="R46" s="172">
        <v>0.71</v>
      </c>
      <c r="S46">
        <f t="shared" si="2"/>
        <v>52.461954871451439</v>
      </c>
      <c r="T46">
        <f t="shared" si="5"/>
        <v>47.538045128548561</v>
      </c>
    </row>
    <row r="47" spans="1:20" ht="15.5" x14ac:dyDescent="0.35">
      <c r="A47" s="41" t="s">
        <v>48</v>
      </c>
      <c r="B47" s="148" t="s">
        <v>139</v>
      </c>
      <c r="C47" s="149" t="s">
        <v>94</v>
      </c>
      <c r="D47" s="148">
        <v>1377.2</v>
      </c>
      <c r="E47" s="148">
        <v>1380.3</v>
      </c>
      <c r="F47" s="148">
        <v>1349.2</v>
      </c>
      <c r="G47" s="148">
        <v>1352.3</v>
      </c>
      <c r="H47" s="148">
        <v>3.1</v>
      </c>
      <c r="I47" s="148">
        <v>2.2467100000000002</v>
      </c>
      <c r="J47" s="42">
        <v>34.895092024539878</v>
      </c>
      <c r="K47" s="43">
        <v>115.1132960551119</v>
      </c>
      <c r="L47" s="149" t="s">
        <v>53</v>
      </c>
      <c r="M47">
        <f>INDEX('Сведения о залежах и флюидах'!A:G,MATCH(РИГИС!C47,'Сведения о залежах и флюидах'!A:A,0),7)</f>
        <v>1503.7061468245649</v>
      </c>
      <c r="N47">
        <f t="shared" si="6"/>
        <v>151.40614682456498</v>
      </c>
      <c r="O47">
        <f t="shared" si="1"/>
        <v>1.1594189773579713</v>
      </c>
      <c r="P47" s="172">
        <f t="shared" si="3"/>
        <v>43.456679525271895</v>
      </c>
      <c r="Q47" s="172">
        <f t="shared" si="4"/>
        <v>9.6557665541055049E-2</v>
      </c>
      <c r="R47" s="172">
        <v>0.71</v>
      </c>
      <c r="S47">
        <f t="shared" si="2"/>
        <v>45.112881069473254</v>
      </c>
      <c r="T47">
        <f t="shared" si="5"/>
        <v>54.887118930526746</v>
      </c>
    </row>
    <row r="48" spans="1:20" ht="15.5" hidden="1" x14ac:dyDescent="0.35">
      <c r="A48" s="41" t="s">
        <v>48</v>
      </c>
      <c r="B48" s="148" t="s">
        <v>139</v>
      </c>
      <c r="C48" s="149" t="s">
        <v>94</v>
      </c>
      <c r="D48" s="148">
        <v>1380.8</v>
      </c>
      <c r="E48" s="148">
        <v>1381.7</v>
      </c>
      <c r="F48" s="148">
        <v>1352.8</v>
      </c>
      <c r="G48" s="148">
        <v>1353.7</v>
      </c>
      <c r="H48" s="148">
        <v>0.9</v>
      </c>
      <c r="I48" s="148">
        <v>1.8855999999999999</v>
      </c>
      <c r="J48" s="42">
        <v>30.173619631901825</v>
      </c>
      <c r="K48" s="43">
        <v>3.4957750427567853</v>
      </c>
      <c r="L48" s="149" t="s">
        <v>155</v>
      </c>
      <c r="M48">
        <f>INDEX('Сведения о залежах и флюидах'!A:G,MATCH(РИГИС!C48,'Сведения о залежах и флюидах'!A:A,0),7)</f>
        <v>1503.7061468245649</v>
      </c>
      <c r="N48">
        <f t="shared" si="6"/>
        <v>150.00614682456489</v>
      </c>
      <c r="O48">
        <f t="shared" si="1"/>
        <v>1.1486982331719242</v>
      </c>
      <c r="S48" t="e">
        <f t="shared" si="2"/>
        <v>#DIV/0!</v>
      </c>
    </row>
    <row r="49" spans="1:20" ht="15.5" hidden="1" x14ac:dyDescent="0.35">
      <c r="A49" s="41" t="s">
        <v>48</v>
      </c>
      <c r="B49" s="148" t="s">
        <v>139</v>
      </c>
      <c r="C49" s="149" t="s">
        <v>94</v>
      </c>
      <c r="D49" s="148">
        <v>1382.2</v>
      </c>
      <c r="E49" s="148">
        <v>1383.2</v>
      </c>
      <c r="F49" s="148">
        <v>1354.2</v>
      </c>
      <c r="G49" s="148">
        <v>1355.2</v>
      </c>
      <c r="H49" s="148">
        <v>1</v>
      </c>
      <c r="I49" s="148">
        <v>1.9769699999999999</v>
      </c>
      <c r="J49" s="42">
        <v>31.447852760736168</v>
      </c>
      <c r="K49" s="43">
        <v>8.9765448467683893</v>
      </c>
      <c r="L49" s="149" t="s">
        <v>155</v>
      </c>
      <c r="M49">
        <f>INDEX('Сведения о залежах и флюидах'!A:G,MATCH(РИГИС!C49,'Сведения о залежах и флюидах'!A:A,0),7)</f>
        <v>1503.7061468245649</v>
      </c>
      <c r="N49">
        <f t="shared" si="6"/>
        <v>148.50614682456489</v>
      </c>
      <c r="O49">
        <f t="shared" si="1"/>
        <v>1.1372117215440172</v>
      </c>
      <c r="S49" t="e">
        <f t="shared" si="2"/>
        <v>#DIV/0!</v>
      </c>
    </row>
    <row r="50" spans="1:20" ht="15.5" hidden="1" x14ac:dyDescent="0.35">
      <c r="A50" s="41" t="s">
        <v>48</v>
      </c>
      <c r="B50" s="148" t="s">
        <v>139</v>
      </c>
      <c r="C50" s="149" t="s">
        <v>94</v>
      </c>
      <c r="D50" s="148">
        <v>1394.2</v>
      </c>
      <c r="E50" s="148">
        <v>1395.3</v>
      </c>
      <c r="F50" s="148">
        <v>1366.2</v>
      </c>
      <c r="G50" s="148">
        <v>1367.3</v>
      </c>
      <c r="H50" s="148">
        <v>1.1000000000000001</v>
      </c>
      <c r="I50" s="148">
        <v>1.6638200000000001</v>
      </c>
      <c r="J50" s="42">
        <v>30.236196319018394</v>
      </c>
      <c r="K50" s="43">
        <v>3.6614824808679236</v>
      </c>
      <c r="L50" s="149" t="s">
        <v>155</v>
      </c>
      <c r="M50">
        <f>INDEX('Сведения о залежах и флюидах'!A:G,MATCH(РИГИС!C50,'Сведения о залежах и флюидах'!A:A,0),7)</f>
        <v>1503.7061468245649</v>
      </c>
      <c r="N50">
        <f t="shared" si="6"/>
        <v>136.40614682456498</v>
      </c>
      <c r="O50">
        <f t="shared" si="1"/>
        <v>1.0445538610789018</v>
      </c>
      <c r="S50" t="e">
        <f t="shared" si="2"/>
        <v>#DIV/0!</v>
      </c>
    </row>
    <row r="51" spans="1:20" ht="15.5" hidden="1" x14ac:dyDescent="0.35">
      <c r="A51" s="41" t="s">
        <v>48</v>
      </c>
      <c r="B51" s="148" t="s">
        <v>139</v>
      </c>
      <c r="C51" s="149" t="s">
        <v>94</v>
      </c>
      <c r="D51" s="148">
        <v>1405.8</v>
      </c>
      <c r="E51" s="148">
        <v>1406.5</v>
      </c>
      <c r="F51" s="148">
        <v>1377.8</v>
      </c>
      <c r="G51" s="148">
        <v>1378.5</v>
      </c>
      <c r="H51" s="148">
        <v>0.7</v>
      </c>
      <c r="I51" s="148">
        <v>1.7125900000000001</v>
      </c>
      <c r="J51" s="42">
        <v>30.546012269938654</v>
      </c>
      <c r="K51" s="43">
        <v>4.6050931618845441</v>
      </c>
      <c r="L51" s="149" t="s">
        <v>155</v>
      </c>
      <c r="M51">
        <f>INDEX('Сведения о залежах и флюидах'!A:G,MATCH(РИГИС!C51,'Сведения о залежах и флюидах'!A:A,0),7)</f>
        <v>1503.7061468245649</v>
      </c>
      <c r="N51">
        <f t="shared" si="6"/>
        <v>125.20614682456494</v>
      </c>
      <c r="O51">
        <f t="shared" si="1"/>
        <v>0.95878790759052912</v>
      </c>
      <c r="S51" t="e">
        <f t="shared" si="2"/>
        <v>#DIV/0!</v>
      </c>
    </row>
    <row r="52" spans="1:20" ht="15.5" hidden="1" x14ac:dyDescent="0.35">
      <c r="A52" s="41" t="s">
        <v>48</v>
      </c>
      <c r="B52" s="148" t="s">
        <v>139</v>
      </c>
      <c r="C52" s="149" t="s">
        <v>94</v>
      </c>
      <c r="D52" s="148">
        <v>1411.2</v>
      </c>
      <c r="E52" s="148">
        <v>1412.2</v>
      </c>
      <c r="F52" s="148">
        <v>1383.2</v>
      </c>
      <c r="G52" s="148">
        <v>1384.2</v>
      </c>
      <c r="H52" s="148">
        <v>1</v>
      </c>
      <c r="I52" s="148">
        <v>1.52942</v>
      </c>
      <c r="J52" s="42">
        <v>30.174846625766865</v>
      </c>
      <c r="K52" s="43">
        <v>3.498950991457531</v>
      </c>
      <c r="L52" s="149" t="s">
        <v>155</v>
      </c>
      <c r="M52">
        <f>INDEX('Сведения о залежах и флюидах'!A:G,MATCH(РИГИС!C52,'Сведения о залежах и флюидах'!A:A,0),7)</f>
        <v>1503.7061468245649</v>
      </c>
      <c r="N52">
        <f t="shared" si="6"/>
        <v>119.50614682456489</v>
      </c>
      <c r="O52">
        <f t="shared" si="1"/>
        <v>0.91513916340448231</v>
      </c>
      <c r="S52" t="e">
        <f t="shared" si="2"/>
        <v>#DIV/0!</v>
      </c>
    </row>
    <row r="53" spans="1:20" ht="15.5" hidden="1" x14ac:dyDescent="0.35">
      <c r="A53" s="41" t="s">
        <v>48</v>
      </c>
      <c r="B53" s="148" t="s">
        <v>139</v>
      </c>
      <c r="C53" s="149" t="s">
        <v>94</v>
      </c>
      <c r="D53" s="148">
        <v>1413.2</v>
      </c>
      <c r="E53" s="148">
        <v>1414.2</v>
      </c>
      <c r="F53" s="148">
        <v>1385.2</v>
      </c>
      <c r="G53" s="148">
        <v>1386.2</v>
      </c>
      <c r="H53" s="148">
        <v>1</v>
      </c>
      <c r="I53" s="148">
        <v>1.56515</v>
      </c>
      <c r="J53" s="42">
        <v>31.803680981595079</v>
      </c>
      <c r="K53" s="43">
        <v>11.680999105466912</v>
      </c>
      <c r="L53" s="149" t="s">
        <v>155</v>
      </c>
      <c r="M53">
        <f>INDEX('Сведения о залежах и флюидах'!A:G,MATCH(РИГИС!C53,'Сведения о залежах и флюидах'!A:A,0),7)</f>
        <v>1503.7061468245649</v>
      </c>
      <c r="N53">
        <f t="shared" si="6"/>
        <v>117.50614682456489</v>
      </c>
      <c r="O53">
        <f t="shared" si="1"/>
        <v>0.89982381456727301</v>
      </c>
      <c r="S53" t="e">
        <f t="shared" si="2"/>
        <v>#DIV/0!</v>
      </c>
    </row>
    <row r="54" spans="1:20" ht="15.5" x14ac:dyDescent="0.35">
      <c r="A54" s="41" t="s">
        <v>48</v>
      </c>
      <c r="B54" s="148" t="s">
        <v>139</v>
      </c>
      <c r="C54" s="149" t="s">
        <v>145</v>
      </c>
      <c r="D54" s="148">
        <v>1434.4</v>
      </c>
      <c r="E54" s="148">
        <v>1435.4</v>
      </c>
      <c r="F54" s="148">
        <v>1406.4</v>
      </c>
      <c r="G54" s="148">
        <v>1407.4</v>
      </c>
      <c r="H54" s="148">
        <v>1</v>
      </c>
      <c r="I54" s="148">
        <v>1.73559</v>
      </c>
      <c r="J54" s="42">
        <v>31.168711656441712</v>
      </c>
      <c r="K54" s="43">
        <v>85.60161632366902</v>
      </c>
      <c r="L54" s="149" t="s">
        <v>53</v>
      </c>
      <c r="M54">
        <f>INDEX('Сведения о залежах и флюидах'!A:G,MATCH(РИГИС!C54,'Сведения о залежах и флюидах'!A:A,0),7)</f>
        <v>1476.1657507471009</v>
      </c>
      <c r="N54">
        <f t="shared" si="6"/>
        <v>68.76575074710081</v>
      </c>
      <c r="O54">
        <f t="shared" si="1"/>
        <v>0.52658573037221768</v>
      </c>
      <c r="P54" s="172">
        <f t="shared" ref="P54:P57" si="7" xml:space="preserve"> -9.228* LN(K54) + 87.252</f>
        <v>46.190129963024262</v>
      </c>
      <c r="Q54" s="172">
        <f t="shared" ref="Q54:Q57" si="8">0.4265 *K54^(-0.313)</f>
        <v>0.10593810020459676</v>
      </c>
      <c r="R54" s="172">
        <v>0.71</v>
      </c>
      <c r="S54">
        <f t="shared" si="2"/>
        <v>51.281397728716641</v>
      </c>
      <c r="T54">
        <f t="shared" ref="T54:T57" si="9">100-S54</f>
        <v>48.718602271283359</v>
      </c>
    </row>
    <row r="55" spans="1:20" ht="15.5" x14ac:dyDescent="0.35">
      <c r="A55" s="41" t="s">
        <v>48</v>
      </c>
      <c r="B55" s="148" t="s">
        <v>139</v>
      </c>
      <c r="C55" s="149" t="s">
        <v>145</v>
      </c>
      <c r="D55" s="148">
        <v>1436.9</v>
      </c>
      <c r="E55" s="148">
        <v>1438.6</v>
      </c>
      <c r="F55" s="148">
        <v>1408.9</v>
      </c>
      <c r="G55" s="148">
        <v>1410.6</v>
      </c>
      <c r="H55" s="148">
        <v>1.7</v>
      </c>
      <c r="I55" s="148">
        <v>1.8865000000000001</v>
      </c>
      <c r="J55" s="42">
        <v>31.68466257668711</v>
      </c>
      <c r="K55" s="43">
        <v>108.55962530598835</v>
      </c>
      <c r="L55" s="149" t="s">
        <v>53</v>
      </c>
      <c r="M55">
        <f>INDEX('Сведения о залежах и флюидах'!A:G,MATCH(РИГИС!C55,'Сведения о залежах и флюидах'!A:A,0),7)</f>
        <v>1476.1657507471009</v>
      </c>
      <c r="N55">
        <f t="shared" si="6"/>
        <v>65.565750747100992</v>
      </c>
      <c r="O55">
        <f t="shared" si="1"/>
        <v>0.50208117223268411</v>
      </c>
      <c r="P55" s="172">
        <f t="shared" si="7"/>
        <v>43.997599623146961</v>
      </c>
      <c r="Q55" s="172">
        <f t="shared" si="8"/>
        <v>9.8345580108282982E-2</v>
      </c>
      <c r="R55" s="172">
        <v>0.71</v>
      </c>
      <c r="S55">
        <f t="shared" si="2"/>
        <v>49.118538500464346</v>
      </c>
      <c r="T55">
        <f t="shared" si="9"/>
        <v>50.881461499535654</v>
      </c>
    </row>
    <row r="56" spans="1:20" ht="15.5" x14ac:dyDescent="0.35">
      <c r="A56" s="41" t="s">
        <v>48</v>
      </c>
      <c r="B56" s="148" t="s">
        <v>139</v>
      </c>
      <c r="C56" s="149" t="s">
        <v>145</v>
      </c>
      <c r="D56" s="148">
        <v>1439</v>
      </c>
      <c r="E56" s="148">
        <v>1439.8</v>
      </c>
      <c r="F56" s="148">
        <v>1411</v>
      </c>
      <c r="G56" s="148">
        <v>1411.8</v>
      </c>
      <c r="H56" s="148">
        <v>0.8</v>
      </c>
      <c r="I56" s="148">
        <v>2.0341499999999999</v>
      </c>
      <c r="J56" s="42">
        <v>30.153374233128826</v>
      </c>
      <c r="K56" s="43">
        <v>53.63175205769604</v>
      </c>
      <c r="L56" s="149" t="s">
        <v>53</v>
      </c>
      <c r="M56">
        <f>INDEX('Сведения о залежах и флюидах'!A:G,MATCH(РИГИС!C56,'Сведения о залежах и флюидах'!A:A,0),7)</f>
        <v>1476.1657507471009</v>
      </c>
      <c r="N56">
        <f t="shared" si="6"/>
        <v>64.365750747100947</v>
      </c>
      <c r="O56">
        <f t="shared" si="1"/>
        <v>0.49289196293035825</v>
      </c>
      <c r="P56" s="172">
        <f t="shared" si="7"/>
        <v>50.50480025136784</v>
      </c>
      <c r="Q56" s="172">
        <f t="shared" si="8"/>
        <v>0.12263373462453871</v>
      </c>
      <c r="R56" s="172">
        <v>0.71</v>
      </c>
      <c r="S56">
        <f t="shared" si="2"/>
        <v>56.619691249200969</v>
      </c>
      <c r="T56">
        <f t="shared" si="9"/>
        <v>43.380308750799031</v>
      </c>
    </row>
    <row r="57" spans="1:20" ht="15.5" x14ac:dyDescent="0.35">
      <c r="A57" s="41" t="s">
        <v>48</v>
      </c>
      <c r="B57" s="148" t="s">
        <v>139</v>
      </c>
      <c r="C57" s="149" t="s">
        <v>145</v>
      </c>
      <c r="D57" s="148">
        <v>1440.8</v>
      </c>
      <c r="E57" s="148">
        <v>1442</v>
      </c>
      <c r="F57" s="148">
        <v>1412.8</v>
      </c>
      <c r="G57" s="148">
        <v>1414</v>
      </c>
      <c r="H57" s="148">
        <v>1.2</v>
      </c>
      <c r="I57" s="148">
        <v>1.95495</v>
      </c>
      <c r="J57" s="42">
        <v>26.91226993865029</v>
      </c>
      <c r="K57" s="43">
        <v>12.056606346306713</v>
      </c>
      <c r="L57" s="149" t="s">
        <v>53</v>
      </c>
      <c r="M57">
        <f>INDEX('Сведения о залежах и флюидах'!A:G,MATCH(РИГИС!C57,'Сведения о залежах и флюидах'!A:A,0),7)</f>
        <v>1476.1657507471009</v>
      </c>
      <c r="N57">
        <f t="shared" si="6"/>
        <v>62.165750747100901</v>
      </c>
      <c r="O57">
        <f t="shared" si="1"/>
        <v>0.47604507920942768</v>
      </c>
      <c r="P57" s="172">
        <f t="shared" si="7"/>
        <v>64.277853504128601</v>
      </c>
      <c r="Q57" s="172">
        <f t="shared" si="8"/>
        <v>0.19565708778575169</v>
      </c>
      <c r="R57" s="172">
        <v>0.71</v>
      </c>
      <c r="S57">
        <f t="shared" si="2"/>
        <v>72.218828117791162</v>
      </c>
      <c r="T57">
        <f t="shared" si="9"/>
        <v>27.781171882208838</v>
      </c>
    </row>
    <row r="58" spans="1:20" ht="15.5" hidden="1" x14ac:dyDescent="0.35">
      <c r="A58" s="41" t="s">
        <v>48</v>
      </c>
      <c r="B58" s="148" t="s">
        <v>139</v>
      </c>
      <c r="C58" s="149" t="s">
        <v>145</v>
      </c>
      <c r="D58" s="148">
        <v>1447.4</v>
      </c>
      <c r="E58" s="148">
        <v>1448.6</v>
      </c>
      <c r="F58" s="148">
        <v>1419.4</v>
      </c>
      <c r="G58" s="148">
        <v>1420.6</v>
      </c>
      <c r="H58" s="148">
        <v>1.2</v>
      </c>
      <c r="I58" s="148">
        <v>1.90263</v>
      </c>
      <c r="J58" s="42">
        <v>31.880368098159508</v>
      </c>
      <c r="K58" s="43">
        <v>118.7976893313201</v>
      </c>
      <c r="L58" s="149" t="s">
        <v>155</v>
      </c>
      <c r="M58">
        <f>INDEX('Сведения о залежах и флюидах'!A:G,MATCH(РИГИС!C58,'Сведения о залежах и флюидах'!A:A,0),7)</f>
        <v>1476.1657507471009</v>
      </c>
      <c r="N58">
        <f t="shared" si="6"/>
        <v>55.565750747100992</v>
      </c>
      <c r="O58">
        <f t="shared" si="1"/>
        <v>0.42550442804663768</v>
      </c>
      <c r="S58" t="e">
        <f t="shared" si="2"/>
        <v>#DIV/0!</v>
      </c>
    </row>
    <row r="59" spans="1:20" ht="15.5" hidden="1" x14ac:dyDescent="0.35">
      <c r="A59" s="41" t="s">
        <v>48</v>
      </c>
      <c r="B59" s="148" t="s">
        <v>139</v>
      </c>
      <c r="C59" s="149" t="s">
        <v>145</v>
      </c>
      <c r="D59" s="148">
        <v>1451.4</v>
      </c>
      <c r="E59" s="148">
        <v>1452.6</v>
      </c>
      <c r="F59" s="148">
        <v>1423.4</v>
      </c>
      <c r="G59" s="148">
        <v>1424.6</v>
      </c>
      <c r="H59" s="148">
        <v>1.2</v>
      </c>
      <c r="I59" s="148">
        <v>1.8318000000000001</v>
      </c>
      <c r="J59" s="42">
        <v>29.246625766871155</v>
      </c>
      <c r="K59" s="43">
        <v>35.324741582230565</v>
      </c>
      <c r="L59" s="149" t="s">
        <v>155</v>
      </c>
      <c r="M59">
        <f>INDEX('Сведения о залежах и флюидах'!A:G,MATCH(РИГИС!C59,'Сведения о залежах и флюидах'!A:A,0),7)</f>
        <v>1476.1657507471009</v>
      </c>
      <c r="N59">
        <f t="shared" si="6"/>
        <v>51.565750747100992</v>
      </c>
      <c r="O59">
        <f t="shared" si="1"/>
        <v>0.39487373037221901</v>
      </c>
      <c r="S59" t="e">
        <f t="shared" si="2"/>
        <v>#DIV/0!</v>
      </c>
    </row>
    <row r="60" spans="1:20" ht="15.5" hidden="1" x14ac:dyDescent="0.35">
      <c r="A60" s="41" t="s">
        <v>48</v>
      </c>
      <c r="B60" s="148" t="s">
        <v>139</v>
      </c>
      <c r="C60" s="149" t="s">
        <v>145</v>
      </c>
      <c r="D60" s="148">
        <v>1454.6</v>
      </c>
      <c r="E60" s="148">
        <v>1455.4</v>
      </c>
      <c r="F60" s="148">
        <v>1426.6</v>
      </c>
      <c r="G60" s="148">
        <v>1427.4</v>
      </c>
      <c r="H60" s="148">
        <v>0.8</v>
      </c>
      <c r="I60" s="148">
        <v>1.65629</v>
      </c>
      <c r="J60" s="42">
        <v>28.959509202453976</v>
      </c>
      <c r="K60" s="43">
        <v>30.94979684682659</v>
      </c>
      <c r="L60" s="149" t="s">
        <v>155</v>
      </c>
      <c r="M60">
        <f>INDEX('Сведения о залежах и флюидах'!A:G,MATCH(РИГИС!C60,'Сведения о залежах и флюидах'!A:A,0),7)</f>
        <v>1476.1657507471009</v>
      </c>
      <c r="N60">
        <f t="shared" si="6"/>
        <v>48.76575074710081</v>
      </c>
      <c r="O60">
        <f t="shared" si="1"/>
        <v>0.37343224200012465</v>
      </c>
      <c r="S60" t="e">
        <f t="shared" si="2"/>
        <v>#DIV/0!</v>
      </c>
    </row>
    <row r="61" spans="1:20" ht="15.5" hidden="1" x14ac:dyDescent="0.35">
      <c r="A61" s="41" t="s">
        <v>48</v>
      </c>
      <c r="B61" s="148" t="s">
        <v>139</v>
      </c>
      <c r="C61" s="149" t="s">
        <v>145</v>
      </c>
      <c r="D61" s="148">
        <v>1483.2</v>
      </c>
      <c r="E61" s="148">
        <v>1484.6</v>
      </c>
      <c r="F61" s="148">
        <v>1455.2</v>
      </c>
      <c r="G61" s="148">
        <v>1456.6</v>
      </c>
      <c r="H61" s="148">
        <v>1.4</v>
      </c>
      <c r="I61" s="148">
        <v>1.7490699999999999</v>
      </c>
      <c r="J61" s="42">
        <v>29.650920245398773</v>
      </c>
      <c r="K61" s="43">
        <v>42.553462240775509</v>
      </c>
      <c r="L61" s="149" t="s">
        <v>155</v>
      </c>
      <c r="M61">
        <f>INDEX('Сведения о залежах и флюидах'!A:G,MATCH(РИГИС!C61,'Сведения о залежах и флюидах'!A:A,0),7)</f>
        <v>1476.1657507471009</v>
      </c>
      <c r="N61">
        <f t="shared" si="6"/>
        <v>19.565750747100992</v>
      </c>
      <c r="O61">
        <f t="shared" si="1"/>
        <v>0.14982814897687016</v>
      </c>
      <c r="S61" t="e">
        <f t="shared" si="2"/>
        <v>#DIV/0!</v>
      </c>
    </row>
    <row r="62" spans="1:20" ht="15.5" x14ac:dyDescent="0.35">
      <c r="A62" s="41" t="s">
        <v>48</v>
      </c>
      <c r="B62" s="148" t="s">
        <v>139</v>
      </c>
      <c r="C62" s="149" t="s">
        <v>146</v>
      </c>
      <c r="D62" s="148">
        <v>1489.2</v>
      </c>
      <c r="E62" s="148">
        <v>1491</v>
      </c>
      <c r="F62" s="148">
        <v>1461.2</v>
      </c>
      <c r="G62" s="148">
        <v>1463</v>
      </c>
      <c r="H62" s="148">
        <v>1.8</v>
      </c>
      <c r="I62" s="148">
        <v>1.9488300000000001</v>
      </c>
      <c r="J62" s="42">
        <v>30.558282208588931</v>
      </c>
      <c r="K62" s="43">
        <v>64.625004632997616</v>
      </c>
      <c r="L62" s="149" t="s">
        <v>53</v>
      </c>
      <c r="M62">
        <f>INDEX('Сведения о залежах и флюидах'!A:G,MATCH(РИГИС!C62,'Сведения о залежах и флюидах'!A:A,0),7)</f>
        <v>1520.5092371547623</v>
      </c>
      <c r="N62">
        <f t="shared" si="6"/>
        <v>57.509237154762332</v>
      </c>
      <c r="O62">
        <f t="shared" si="1"/>
        <v>0.44038701419349174</v>
      </c>
      <c r="P62" s="172">
        <f t="shared" ref="P62:P65" si="10" xml:space="preserve"> -9.228* LN(K62) + 87.252</f>
        <v>48.784146239097964</v>
      </c>
      <c r="Q62" s="172">
        <f t="shared" ref="Q62:Q65" si="11">0.4265 *K62^(-0.313)</f>
        <v>0.11568143084398858</v>
      </c>
      <c r="R62" s="172">
        <v>0.71</v>
      </c>
      <c r="S62">
        <f t="shared" si="2"/>
        <v>55.547887401830977</v>
      </c>
      <c r="T62">
        <f t="shared" ref="T62:T65" si="12">100-S62</f>
        <v>44.452112598169023</v>
      </c>
    </row>
    <row r="63" spans="1:20" ht="15.5" x14ac:dyDescent="0.35">
      <c r="A63" s="41" t="s">
        <v>48</v>
      </c>
      <c r="B63" s="148" t="s">
        <v>139</v>
      </c>
      <c r="C63" s="149" t="s">
        <v>146</v>
      </c>
      <c r="D63" s="148">
        <v>1491</v>
      </c>
      <c r="E63" s="148">
        <v>1491.8</v>
      </c>
      <c r="F63" s="148">
        <v>1463</v>
      </c>
      <c r="G63" s="148">
        <v>1463.8</v>
      </c>
      <c r="H63" s="148">
        <v>0.8</v>
      </c>
      <c r="I63" s="148">
        <v>1.9271100000000001</v>
      </c>
      <c r="J63" s="42">
        <v>30.239263803680966</v>
      </c>
      <c r="K63" s="43">
        <v>55.795511610206617</v>
      </c>
      <c r="L63" s="149" t="s">
        <v>53</v>
      </c>
      <c r="M63">
        <f>INDEX('Сведения о залежах и флюидах'!A:G,MATCH(РИГИС!C63,'Сведения о залежах и флюидах'!A:A,0),7)</f>
        <v>1520.5092371547623</v>
      </c>
      <c r="N63">
        <f t="shared" si="6"/>
        <v>56.709237154762377</v>
      </c>
      <c r="O63">
        <f t="shared" si="1"/>
        <v>0.43426087465860835</v>
      </c>
      <c r="P63" s="172">
        <f t="shared" si="10"/>
        <v>50.139813036643936</v>
      </c>
      <c r="Q63" s="172">
        <f t="shared" si="11"/>
        <v>0.12112490957117926</v>
      </c>
      <c r="R63" s="172">
        <v>0.71</v>
      </c>
      <c r="S63">
        <f t="shared" si="2"/>
        <v>57.222600176513502</v>
      </c>
      <c r="T63">
        <f t="shared" si="12"/>
        <v>42.777399823486498</v>
      </c>
    </row>
    <row r="64" spans="1:20" ht="15.5" x14ac:dyDescent="0.35">
      <c r="A64" s="41" t="s">
        <v>48</v>
      </c>
      <c r="B64" s="148" t="s">
        <v>139</v>
      </c>
      <c r="C64" s="149" t="s">
        <v>146</v>
      </c>
      <c r="D64" s="148">
        <v>1492.8</v>
      </c>
      <c r="E64" s="148">
        <v>1493.6</v>
      </c>
      <c r="F64" s="148">
        <v>1464.8</v>
      </c>
      <c r="G64" s="148">
        <v>1465.6</v>
      </c>
      <c r="H64" s="148">
        <v>0.8</v>
      </c>
      <c r="I64" s="148">
        <v>1.88175</v>
      </c>
      <c r="J64" s="42">
        <v>27.702453987730042</v>
      </c>
      <c r="K64" s="43">
        <v>17.348265128741858</v>
      </c>
      <c r="L64" s="149" t="s">
        <v>53</v>
      </c>
      <c r="M64">
        <f>INDEX('Сведения о залежах и флюидах'!A:G,MATCH(РИГИС!C64,'Сведения о залежах и флюидах'!A:A,0),7)</f>
        <v>1520.5092371547623</v>
      </c>
      <c r="N64">
        <f t="shared" si="6"/>
        <v>54.909237154762423</v>
      </c>
      <c r="O64">
        <f t="shared" si="1"/>
        <v>0.42047706070512036</v>
      </c>
      <c r="P64" s="172">
        <f t="shared" si="10"/>
        <v>60.919971128668493</v>
      </c>
      <c r="Q64" s="172">
        <f t="shared" si="11"/>
        <v>0.17459503589009043</v>
      </c>
      <c r="R64" s="172">
        <v>0.71</v>
      </c>
      <c r="S64">
        <f t="shared" si="2"/>
        <v>69.705116972260129</v>
      </c>
      <c r="T64">
        <f t="shared" si="12"/>
        <v>30.294883027739871</v>
      </c>
    </row>
    <row r="65" spans="1:20" ht="15.5" x14ac:dyDescent="0.35">
      <c r="A65" s="41" t="s">
        <v>48</v>
      </c>
      <c r="B65" s="148" t="s">
        <v>139</v>
      </c>
      <c r="C65" s="149" t="s">
        <v>146</v>
      </c>
      <c r="D65" s="148">
        <v>1494.6</v>
      </c>
      <c r="E65" s="148">
        <v>1496.4</v>
      </c>
      <c r="F65" s="148">
        <v>1466.6</v>
      </c>
      <c r="G65" s="148">
        <v>1468.4</v>
      </c>
      <c r="H65" s="148">
        <v>1.8</v>
      </c>
      <c r="I65" s="148">
        <v>2.0594100000000002</v>
      </c>
      <c r="J65" s="42">
        <v>30.278527607361955</v>
      </c>
      <c r="K65" s="43">
        <v>56.813524833816281</v>
      </c>
      <c r="L65" s="149" t="s">
        <v>53</v>
      </c>
      <c r="M65">
        <f>INDEX('Сведения о залежах и флюидах'!A:G,MATCH(РИГИС!C65,'Сведения о залежах и флюидах'!A:A,0),7)</f>
        <v>1520.5092371547623</v>
      </c>
      <c r="N65">
        <f t="shared" si="6"/>
        <v>52.109237154762241</v>
      </c>
      <c r="O65">
        <f t="shared" si="1"/>
        <v>0.39903557233302589</v>
      </c>
      <c r="P65" s="172">
        <f t="shared" si="10"/>
        <v>49.972961738484393</v>
      </c>
      <c r="Q65" s="172">
        <f t="shared" si="11"/>
        <v>0.12044135770169509</v>
      </c>
      <c r="R65" s="172">
        <v>0.71</v>
      </c>
      <c r="S65">
        <f t="shared" si="2"/>
        <v>57.784631356747312</v>
      </c>
      <c r="T65">
        <f t="shared" si="12"/>
        <v>42.215368643252688</v>
      </c>
    </row>
    <row r="66" spans="1:20" ht="15.5" hidden="1" x14ac:dyDescent="0.35">
      <c r="A66" s="41" t="s">
        <v>48</v>
      </c>
      <c r="B66" s="148" t="s">
        <v>139</v>
      </c>
      <c r="C66" s="149" t="s">
        <v>146</v>
      </c>
      <c r="D66" s="148">
        <v>1500</v>
      </c>
      <c r="E66" s="148">
        <v>1501.4</v>
      </c>
      <c r="F66" s="148">
        <v>1472</v>
      </c>
      <c r="G66" s="148">
        <v>1473.4</v>
      </c>
      <c r="H66" s="148">
        <v>1.4</v>
      </c>
      <c r="I66" s="148">
        <v>1.8495200000000001</v>
      </c>
      <c r="J66" s="42">
        <v>31.196319018404893</v>
      </c>
      <c r="K66" s="43">
        <v>86.696833050142374</v>
      </c>
      <c r="L66" s="149" t="s">
        <v>155</v>
      </c>
      <c r="M66">
        <f>INDEX('Сведения о залежах и флюидах'!A:G,MATCH(РИГИС!C66,'Сведения о залежах и флюидах'!A:A,0),7)</f>
        <v>1520.5092371547623</v>
      </c>
      <c r="N66">
        <f t="shared" si="6"/>
        <v>47.109237154762241</v>
      </c>
      <c r="O66">
        <f t="shared" si="1"/>
        <v>0.36074720024000262</v>
      </c>
      <c r="S66" t="e">
        <f t="shared" si="2"/>
        <v>#DIV/0!</v>
      </c>
    </row>
    <row r="67" spans="1:20" ht="15.5" hidden="1" x14ac:dyDescent="0.35">
      <c r="A67" s="41" t="s">
        <v>48</v>
      </c>
      <c r="B67" s="148" t="s">
        <v>139</v>
      </c>
      <c r="C67" s="149" t="s">
        <v>146</v>
      </c>
      <c r="D67" s="148">
        <v>1505.9</v>
      </c>
      <c r="E67" s="148">
        <v>1506.6</v>
      </c>
      <c r="F67" s="148">
        <v>1477.9</v>
      </c>
      <c r="G67" s="148">
        <v>1478.6</v>
      </c>
      <c r="H67" s="148">
        <v>0.7</v>
      </c>
      <c r="I67" s="148">
        <v>1.5079400000000001</v>
      </c>
      <c r="J67" s="42">
        <v>33.723926380368077</v>
      </c>
      <c r="K67" s="43">
        <v>277.65533591113518</v>
      </c>
      <c r="L67" s="149" t="s">
        <v>155</v>
      </c>
      <c r="M67">
        <f>INDEX('Сведения о залежах и флюидах'!A:G,MATCH(РИГИС!C67,'Сведения о залежах и флюидах'!A:A,0),7)</f>
        <v>1520.5092371547623</v>
      </c>
      <c r="N67">
        <f t="shared" si="6"/>
        <v>41.909237154762423</v>
      </c>
      <c r="O67">
        <f t="shared" si="1"/>
        <v>0.32092729326325986</v>
      </c>
      <c r="S67" t="e">
        <f t="shared" si="2"/>
        <v>#DIV/0!</v>
      </c>
    </row>
    <row r="68" spans="1:20" ht="15.5" hidden="1" x14ac:dyDescent="0.35">
      <c r="A68" s="41" t="s">
        <v>48</v>
      </c>
      <c r="B68" s="148" t="s">
        <v>139</v>
      </c>
      <c r="C68" s="149" t="s">
        <v>146</v>
      </c>
      <c r="D68" s="148">
        <v>1506.6</v>
      </c>
      <c r="E68" s="148">
        <v>1507.4</v>
      </c>
      <c r="F68" s="148">
        <v>1478.6</v>
      </c>
      <c r="G68" s="148">
        <v>1479.4</v>
      </c>
      <c r="H68" s="148">
        <v>0.8</v>
      </c>
      <c r="I68" s="148">
        <v>1.7897099999999999</v>
      </c>
      <c r="J68" s="42">
        <v>33.834355828220851</v>
      </c>
      <c r="K68" s="43">
        <v>292.14004876895291</v>
      </c>
      <c r="L68" s="149" t="s">
        <v>155</v>
      </c>
      <c r="M68">
        <f>INDEX('Сведения о залежах и флюидах'!A:G,MATCH(РИГИС!C68,'Сведения о залежах и флюидах'!A:A,0),7)</f>
        <v>1520.5092371547623</v>
      </c>
      <c r="N68">
        <f t="shared" si="6"/>
        <v>41.109237154762241</v>
      </c>
      <c r="O68">
        <f t="shared" si="1"/>
        <v>0.31480115372837475</v>
      </c>
      <c r="S68" t="e">
        <f t="shared" si="2"/>
        <v>#DIV/0!</v>
      </c>
    </row>
    <row r="69" spans="1:20" ht="15.5" x14ac:dyDescent="0.35">
      <c r="A69" s="41" t="s">
        <v>48</v>
      </c>
      <c r="B69" s="148" t="s">
        <v>139</v>
      </c>
      <c r="C69" s="149" t="s">
        <v>147</v>
      </c>
      <c r="D69" s="148">
        <v>1518.2</v>
      </c>
      <c r="E69" s="148">
        <v>1519.4</v>
      </c>
      <c r="F69" s="148">
        <v>1490.2</v>
      </c>
      <c r="G69" s="148">
        <v>1491.4</v>
      </c>
      <c r="H69" s="148">
        <v>1.2</v>
      </c>
      <c r="I69" s="148">
        <v>1.85768</v>
      </c>
      <c r="J69" s="42">
        <v>32.339263803680964</v>
      </c>
      <c r="K69" s="43">
        <v>146.7519034113165</v>
      </c>
      <c r="L69" s="149" t="s">
        <v>53</v>
      </c>
      <c r="M69">
        <f>INDEX('Сведения о залежах и флюидах'!A:G,MATCH(РИГИС!C69,'Сведения о залежах и флюидах'!A:A,0),7)</f>
        <v>1536.8368663086922</v>
      </c>
      <c r="N69">
        <f t="shared" ref="N69:N77" si="13">M69-G69</f>
        <v>45.436866308692061</v>
      </c>
      <c r="O69">
        <f t="shared" si="1"/>
        <v>0.34794072879363086</v>
      </c>
      <c r="P69" s="172">
        <f t="shared" ref="P69:P70" si="14" xml:space="preserve"> -9.228* LN(K69) + 87.252</f>
        <v>41.21587563664395</v>
      </c>
      <c r="Q69" s="172">
        <f t="shared" ref="Q69:Q70" si="15">0.4265 *K69^(-0.313)</f>
        <v>8.9490786302105454E-2</v>
      </c>
      <c r="R69" s="172">
        <v>0.71</v>
      </c>
      <c r="S69">
        <f t="shared" si="2"/>
        <v>48.781207821850941</v>
      </c>
      <c r="T69">
        <f t="shared" ref="T69:T70" si="16">100-S69</f>
        <v>51.218792178149059</v>
      </c>
    </row>
    <row r="70" spans="1:20" ht="15.5" x14ac:dyDescent="0.35">
      <c r="A70" s="41" t="s">
        <v>48</v>
      </c>
      <c r="B70" s="148" t="s">
        <v>139</v>
      </c>
      <c r="C70" s="149" t="s">
        <v>147</v>
      </c>
      <c r="D70" s="148">
        <v>1521.4</v>
      </c>
      <c r="E70" s="148">
        <v>1522.4</v>
      </c>
      <c r="F70" s="148">
        <v>1493.4</v>
      </c>
      <c r="G70" s="148">
        <v>1494.4</v>
      </c>
      <c r="H70" s="148">
        <v>1</v>
      </c>
      <c r="I70" s="148">
        <v>1.69486</v>
      </c>
      <c r="J70" s="42">
        <v>33.252760736196322</v>
      </c>
      <c r="K70" s="43">
        <v>223.49940826858776</v>
      </c>
      <c r="L70" s="149" t="s">
        <v>53</v>
      </c>
      <c r="M70">
        <f>INDEX('Сведения о залежах и флюидах'!A:G,MATCH(РИГИС!C70,'Сведения о залежах и флюидах'!A:A,0),7)</f>
        <v>1536.8368663086922</v>
      </c>
      <c r="N70">
        <f t="shared" si="13"/>
        <v>42.436866308692061</v>
      </c>
      <c r="O70">
        <f t="shared" ref="O70:O77" si="17">(9.8*(1.006-0.726)*N70*72*1)/(1000*30*0.86)</f>
        <v>0.32496770553781684</v>
      </c>
      <c r="P70" s="172">
        <f t="shared" si="14"/>
        <v>37.333975902901528</v>
      </c>
      <c r="Q70" s="172">
        <f t="shared" si="15"/>
        <v>7.8450466295927113E-2</v>
      </c>
      <c r="R70" s="172">
        <v>0.71</v>
      </c>
      <c r="S70">
        <f t="shared" ref="S70:S77" si="18">(P70*O70^(1/R70)+100*Q70^(1/R70))/(O70^(1/R70)+Q70^(1/R70))</f>
        <v>44.792295554482017</v>
      </c>
      <c r="T70">
        <f t="shared" si="16"/>
        <v>55.207704445517983</v>
      </c>
    </row>
    <row r="71" spans="1:20" ht="15.5" hidden="1" x14ac:dyDescent="0.35">
      <c r="A71" s="41" t="s">
        <v>48</v>
      </c>
      <c r="B71" s="148" t="s">
        <v>139</v>
      </c>
      <c r="C71" s="149" t="s">
        <v>147</v>
      </c>
      <c r="D71" s="148">
        <v>1539.3</v>
      </c>
      <c r="E71" s="148">
        <v>1540.6</v>
      </c>
      <c r="F71" s="148">
        <v>1511.3</v>
      </c>
      <c r="G71" s="148">
        <v>1512.6</v>
      </c>
      <c r="H71" s="148">
        <v>1.3</v>
      </c>
      <c r="I71" s="148">
        <v>1.97333</v>
      </c>
      <c r="J71" s="42">
        <v>32.153987730061345</v>
      </c>
      <c r="K71" s="43">
        <v>134.75034864829112</v>
      </c>
      <c r="L71" s="149" t="s">
        <v>155</v>
      </c>
      <c r="M71">
        <f>INDEX('Сведения о залежах и флюидах'!A:G,MATCH(РИГИС!C71,'Сведения о залежах и флюидах'!A:A,0),7)</f>
        <v>1536.8368663086922</v>
      </c>
      <c r="N71">
        <f t="shared" si="13"/>
        <v>24.236866308692242</v>
      </c>
      <c r="O71">
        <f t="shared" si="17"/>
        <v>0.18559803111921355</v>
      </c>
      <c r="S71" t="e">
        <f t="shared" si="18"/>
        <v>#DIV/0!</v>
      </c>
    </row>
    <row r="72" spans="1:20" ht="15.5" hidden="1" x14ac:dyDescent="0.35">
      <c r="A72" s="41" t="s">
        <v>48</v>
      </c>
      <c r="B72" s="148" t="s">
        <v>139</v>
      </c>
      <c r="C72" s="149" t="s">
        <v>147</v>
      </c>
      <c r="D72" s="148">
        <v>1556.5</v>
      </c>
      <c r="E72" s="148">
        <v>1557.4</v>
      </c>
      <c r="F72" s="148">
        <v>1528.5</v>
      </c>
      <c r="G72" s="148">
        <v>1529.4</v>
      </c>
      <c r="H72" s="148">
        <v>0.9</v>
      </c>
      <c r="I72" s="148">
        <v>1.64768</v>
      </c>
      <c r="J72" s="42">
        <v>30.158773006134954</v>
      </c>
      <c r="K72" s="43">
        <v>53.765253714758742</v>
      </c>
      <c r="L72" s="149" t="s">
        <v>155</v>
      </c>
      <c r="M72">
        <f>INDEX('Сведения о залежах и флюидах'!A:G,MATCH(РИГИС!C72,'Сведения о залежах и флюидах'!A:A,0),7)</f>
        <v>1536.8368663086922</v>
      </c>
      <c r="N72">
        <f t="shared" si="13"/>
        <v>7.4368663086920606</v>
      </c>
      <c r="O72">
        <f t="shared" si="17"/>
        <v>5.694910088665401E-2</v>
      </c>
      <c r="S72" t="e">
        <f t="shared" si="18"/>
        <v>#DIV/0!</v>
      </c>
    </row>
    <row r="73" spans="1:20" ht="15.5" x14ac:dyDescent="0.35">
      <c r="A73" s="41" t="s">
        <v>48</v>
      </c>
      <c r="B73" s="148" t="s">
        <v>139</v>
      </c>
      <c r="C73" s="149" t="s">
        <v>95</v>
      </c>
      <c r="D73" s="148">
        <v>1587.7</v>
      </c>
      <c r="E73" s="148">
        <v>1589</v>
      </c>
      <c r="F73" s="148">
        <v>1559.7</v>
      </c>
      <c r="G73" s="148">
        <v>1561</v>
      </c>
      <c r="H73" s="148">
        <v>1.3</v>
      </c>
      <c r="I73" s="148">
        <v>2.1113400000000002</v>
      </c>
      <c r="J73" s="42">
        <v>33.223926380368077</v>
      </c>
      <c r="K73" s="43">
        <v>220.55134956555213</v>
      </c>
      <c r="L73" s="149" t="s">
        <v>53</v>
      </c>
      <c r="M73">
        <f>INDEX('Сведения о залежах и флюидах'!A:G,MATCH(РИГИС!C73,'Сведения о залежах и флюидах'!A:A,0),7)</f>
        <v>1621.7797259623846</v>
      </c>
      <c r="N73">
        <f t="shared" si="13"/>
        <v>60.779725962384646</v>
      </c>
      <c r="O73">
        <f t="shared" si="17"/>
        <v>0.46543135267195401</v>
      </c>
      <c r="P73" s="172">
        <f t="shared" ref="P73:P111" si="19" xml:space="preserve"> -9.228* LN(K73) + 87.252</f>
        <v>37.456507324987513</v>
      </c>
      <c r="Q73" s="172">
        <f t="shared" ref="Q73:Q111" si="20">0.4265 *K73^(-0.313)</f>
        <v>7.8777191433470811E-2</v>
      </c>
      <c r="R73" s="172">
        <v>0.71</v>
      </c>
      <c r="S73">
        <f t="shared" si="18"/>
        <v>42.192667600632682</v>
      </c>
      <c r="T73">
        <f t="shared" ref="T73:T111" si="21">100-S73</f>
        <v>57.807332399367318</v>
      </c>
    </row>
    <row r="74" spans="1:20" ht="15.5" x14ac:dyDescent="0.35">
      <c r="A74" s="41" t="s">
        <v>48</v>
      </c>
      <c r="B74" s="148" t="s">
        <v>139</v>
      </c>
      <c r="C74" s="149" t="s">
        <v>95</v>
      </c>
      <c r="D74" s="148">
        <v>1592.8</v>
      </c>
      <c r="E74" s="148">
        <v>1595</v>
      </c>
      <c r="F74" s="148">
        <v>1564.8</v>
      </c>
      <c r="G74" s="148">
        <v>1567</v>
      </c>
      <c r="H74" s="148">
        <v>2.2000000000000002</v>
      </c>
      <c r="I74" s="148">
        <v>1.9152899999999999</v>
      </c>
      <c r="J74" s="42">
        <v>33.512269938650292</v>
      </c>
      <c r="K74" s="43">
        <v>251.869917594458</v>
      </c>
      <c r="L74" s="149" t="s">
        <v>53</v>
      </c>
      <c r="M74">
        <f>INDEX('Сведения о залежах и флюидах'!A:G,MATCH(РИГИС!C74,'Сведения о залежах и флюидах'!A:A,0),7)</f>
        <v>1621.7797259623846</v>
      </c>
      <c r="N74">
        <f t="shared" si="13"/>
        <v>54.779725962384646</v>
      </c>
      <c r="O74">
        <f t="shared" si="17"/>
        <v>0.41948530616032609</v>
      </c>
      <c r="P74" s="172">
        <f t="shared" si="19"/>
        <v>36.231193104128593</v>
      </c>
      <c r="Q74" s="172">
        <f t="shared" si="20"/>
        <v>7.5570249066332279E-2</v>
      </c>
      <c r="R74" s="172">
        <v>0.71</v>
      </c>
      <c r="S74">
        <f t="shared" si="18"/>
        <v>41.467160325115223</v>
      </c>
      <c r="T74">
        <f t="shared" si="21"/>
        <v>58.532839674884777</v>
      </c>
    </row>
    <row r="75" spans="1:20" ht="15.5" x14ac:dyDescent="0.35">
      <c r="A75" s="41" t="s">
        <v>48</v>
      </c>
      <c r="B75" s="148" t="s">
        <v>139</v>
      </c>
      <c r="C75" s="149" t="s">
        <v>95</v>
      </c>
      <c r="D75" s="148">
        <v>1596.7</v>
      </c>
      <c r="E75" s="148">
        <v>1597.6</v>
      </c>
      <c r="F75" s="148">
        <v>1568.7</v>
      </c>
      <c r="G75" s="148">
        <v>1569.6</v>
      </c>
      <c r="H75" s="148">
        <v>0.9</v>
      </c>
      <c r="I75" s="148">
        <v>1.6519200000000001</v>
      </c>
      <c r="J75" s="42">
        <v>32.061349693251486</v>
      </c>
      <c r="K75" s="43">
        <v>129.12281183612444</v>
      </c>
      <c r="L75" s="149" t="s">
        <v>53</v>
      </c>
      <c r="M75">
        <f>INDEX('Сведения о залежах и флюидах'!A:G,MATCH(РИГИС!C75,'Сведения о залежах и флюидах'!A:A,0),7)</f>
        <v>1621.7797259623846</v>
      </c>
      <c r="N75">
        <f t="shared" si="13"/>
        <v>52.179725962384737</v>
      </c>
      <c r="O75">
        <f t="shared" si="17"/>
        <v>0.3995753526719546</v>
      </c>
      <c r="P75" s="172">
        <f t="shared" si="19"/>
        <v>42.396869981429347</v>
      </c>
      <c r="Q75" s="172">
        <f t="shared" si="20"/>
        <v>9.3148336706709009E-2</v>
      </c>
      <c r="R75" s="172">
        <v>0.71</v>
      </c>
      <c r="S75">
        <f t="shared" si="18"/>
        <v>48.960833074779295</v>
      </c>
      <c r="T75">
        <f t="shared" si="21"/>
        <v>51.039166925220705</v>
      </c>
    </row>
    <row r="76" spans="1:20" ht="15.5" x14ac:dyDescent="0.35">
      <c r="A76" s="41" t="s">
        <v>48</v>
      </c>
      <c r="B76" s="148" t="s">
        <v>139</v>
      </c>
      <c r="C76" s="149" t="s">
        <v>95</v>
      </c>
      <c r="D76" s="148">
        <v>1598</v>
      </c>
      <c r="E76" s="148">
        <v>1598.9</v>
      </c>
      <c r="F76" s="148">
        <v>1570</v>
      </c>
      <c r="G76" s="148">
        <v>1570.9</v>
      </c>
      <c r="H76" s="148">
        <v>0.9</v>
      </c>
      <c r="I76" s="148">
        <v>1.61863</v>
      </c>
      <c r="J76" s="42">
        <v>30.558282208588931</v>
      </c>
      <c r="K76" s="43">
        <v>64.625004632997616</v>
      </c>
      <c r="L76" s="149" t="s">
        <v>53</v>
      </c>
      <c r="M76">
        <f>INDEX('Сведения о залежах и флюидах'!A:G,MATCH(РИГИС!C76,'Сведения о залежах и флюидах'!A:A,0),7)</f>
        <v>1621.7797259623846</v>
      </c>
      <c r="N76">
        <f t="shared" si="13"/>
        <v>50.879725962384555</v>
      </c>
      <c r="O76">
        <f t="shared" si="17"/>
        <v>0.38962037592776722</v>
      </c>
      <c r="P76" s="172">
        <f t="shared" si="19"/>
        <v>48.784146239097964</v>
      </c>
      <c r="Q76" s="172">
        <f t="shared" si="20"/>
        <v>0.11568143084398858</v>
      </c>
      <c r="R76" s="172">
        <v>0.71</v>
      </c>
      <c r="S76">
        <f t="shared" si="18"/>
        <v>56.626379357948615</v>
      </c>
      <c r="T76">
        <f t="shared" si="21"/>
        <v>43.373620642051385</v>
      </c>
    </row>
    <row r="77" spans="1:20" ht="15.5" x14ac:dyDescent="0.35">
      <c r="A77" s="41" t="s">
        <v>48</v>
      </c>
      <c r="B77" s="148" t="s">
        <v>139</v>
      </c>
      <c r="C77" s="149" t="s">
        <v>95</v>
      </c>
      <c r="D77" s="148">
        <v>1600</v>
      </c>
      <c r="E77" s="148">
        <v>1601.8</v>
      </c>
      <c r="F77" s="148">
        <v>1572</v>
      </c>
      <c r="G77" s="148">
        <v>1573.8</v>
      </c>
      <c r="H77" s="148">
        <v>1.8</v>
      </c>
      <c r="I77" s="148">
        <v>1.71607</v>
      </c>
      <c r="J77" s="42">
        <v>33.217791411042938</v>
      </c>
      <c r="K77" s="43">
        <v>219.92913751222605</v>
      </c>
      <c r="L77" s="149" t="s">
        <v>53</v>
      </c>
      <c r="M77">
        <f>INDEX('Сведения о залежах и флюидах'!A:G,MATCH(РИГИС!C77,'Сведения о залежах и флюидах'!A:A,0),7)</f>
        <v>1621.7797259623846</v>
      </c>
      <c r="N77">
        <f t="shared" si="13"/>
        <v>47.979725962384691</v>
      </c>
      <c r="O77">
        <f t="shared" si="17"/>
        <v>0.36741312011381483</v>
      </c>
      <c r="P77" s="172">
        <f t="shared" si="19"/>
        <v>37.482577840324879</v>
      </c>
      <c r="Q77" s="172">
        <f t="shared" si="20"/>
        <v>7.8846882785904057E-2</v>
      </c>
      <c r="R77" s="172">
        <v>0.71</v>
      </c>
      <c r="S77">
        <f t="shared" si="18"/>
        <v>43.903128243871983</v>
      </c>
      <c r="T77">
        <f t="shared" si="21"/>
        <v>56.096871756128017</v>
      </c>
    </row>
    <row r="78" spans="1:20" ht="15.5" x14ac:dyDescent="0.35">
      <c r="A78" s="41" t="s">
        <v>48</v>
      </c>
      <c r="B78" s="148" t="s">
        <v>139</v>
      </c>
      <c r="C78" s="149" t="s">
        <v>95</v>
      </c>
      <c r="D78" s="148">
        <v>1601.8</v>
      </c>
      <c r="E78" s="148">
        <v>1603.5</v>
      </c>
      <c r="F78" s="148">
        <v>1573.8</v>
      </c>
      <c r="G78" s="148">
        <v>1575.5</v>
      </c>
      <c r="H78" s="148">
        <v>1.7</v>
      </c>
      <c r="I78" s="148">
        <v>1.8539399999999999</v>
      </c>
      <c r="J78">
        <v>32.776687116564375</v>
      </c>
      <c r="K78">
        <v>179.50029738030787</v>
      </c>
      <c r="L78" s="149" t="s">
        <v>53</v>
      </c>
      <c r="M78">
        <f>INDEX('Сведения о залежах и флюидах'!A:G,MATCH(РИГИС!C78,'Сведения о залежах и флюидах'!A:A,0),7)</f>
        <v>1621.7797259623846</v>
      </c>
      <c r="N78">
        <f t="shared" ref="N78:N111" si="22">M78-G78</f>
        <v>46.279725962384646</v>
      </c>
      <c r="O78">
        <f t="shared" ref="O78:O111" si="23">(9.8*(1.006-0.726)*N78*72*1)/(1000*30*0.86)</f>
        <v>0.35439507360218653</v>
      </c>
      <c r="P78" s="172">
        <f t="shared" si="19"/>
        <v>39.357047893085763</v>
      </c>
      <c r="Q78" s="172">
        <f t="shared" si="20"/>
        <v>8.4022700661094449E-2</v>
      </c>
      <c r="R78" s="172">
        <v>0.71</v>
      </c>
      <c r="S78">
        <f t="shared" ref="S78:S111" si="24">(P78*O78^(1/R78)+100*Q78^(1/R78))/(O78^(1/R78)+Q78^(1/R78))</f>
        <v>46.414348264546121</v>
      </c>
      <c r="T78">
        <f t="shared" si="21"/>
        <v>53.585651735453879</v>
      </c>
    </row>
    <row r="79" spans="1:20" ht="15.5" x14ac:dyDescent="0.35">
      <c r="A79" s="41" t="s">
        <v>48</v>
      </c>
      <c r="B79" s="148" t="s">
        <v>139</v>
      </c>
      <c r="C79" s="149" t="s">
        <v>95</v>
      </c>
      <c r="D79" s="148">
        <v>1605.8</v>
      </c>
      <c r="E79" s="148">
        <v>1606.9</v>
      </c>
      <c r="F79" s="148">
        <v>1577.8</v>
      </c>
      <c r="G79" s="148">
        <v>1578.9</v>
      </c>
      <c r="H79" s="148">
        <v>1.1000000000000001</v>
      </c>
      <c r="I79" s="148">
        <v>1.7379199999999999</v>
      </c>
      <c r="J79">
        <v>31.580981595091995</v>
      </c>
      <c r="K79">
        <v>103.49822595257967</v>
      </c>
      <c r="L79" s="149" t="s">
        <v>53</v>
      </c>
      <c r="M79">
        <f>INDEX('Сведения о залежах и флюидах'!A:G,MATCH(РИГИС!C79,'Сведения о залежах и флюидах'!A:A,0),7)</f>
        <v>1621.7797259623846</v>
      </c>
      <c r="N79">
        <f t="shared" si="22"/>
        <v>42.879725962384555</v>
      </c>
      <c r="O79">
        <f t="shared" si="23"/>
        <v>0.32835898057892998</v>
      </c>
      <c r="P79" s="172">
        <f t="shared" si="19"/>
        <v>44.438191332349511</v>
      </c>
      <c r="Q79" s="172">
        <f t="shared" si="20"/>
        <v>9.982631412943474E-2</v>
      </c>
      <c r="R79" s="172">
        <v>0.71</v>
      </c>
      <c r="S79">
        <f t="shared" si="24"/>
        <v>53.188735704181319</v>
      </c>
      <c r="T79">
        <f t="shared" si="21"/>
        <v>46.811264295818681</v>
      </c>
    </row>
    <row r="80" spans="1:20" ht="15.5" x14ac:dyDescent="0.35">
      <c r="A80" s="41" t="s">
        <v>48</v>
      </c>
      <c r="B80" s="148" t="s">
        <v>139</v>
      </c>
      <c r="C80" s="149" t="s">
        <v>95</v>
      </c>
      <c r="D80" s="148">
        <v>1608.6</v>
      </c>
      <c r="E80" s="148">
        <v>1610.4</v>
      </c>
      <c r="F80" s="148">
        <v>1580.6</v>
      </c>
      <c r="G80" s="148">
        <v>1582.4</v>
      </c>
      <c r="H80" s="148">
        <v>1.8</v>
      </c>
      <c r="I80" s="148">
        <v>2.1167099999999999</v>
      </c>
      <c r="J80">
        <v>28.377914110429415</v>
      </c>
      <c r="K80">
        <v>23.677894593525433</v>
      </c>
      <c r="L80" s="149" t="s">
        <v>53</v>
      </c>
      <c r="M80">
        <f>INDEX('Сведения о залежах и флюидах'!A:G,MATCH(РИГИС!C80,'Сведения о залежах и флюидах'!A:A,0),7)</f>
        <v>1621.7797259623846</v>
      </c>
      <c r="N80">
        <f t="shared" si="22"/>
        <v>39.379725962384555</v>
      </c>
      <c r="O80">
        <f t="shared" si="23"/>
        <v>0.30155712011381375</v>
      </c>
      <c r="P80" s="172">
        <f t="shared" si="19"/>
        <v>58.049607390018245</v>
      </c>
      <c r="Q80" s="172">
        <f t="shared" si="20"/>
        <v>0.15839798426468721</v>
      </c>
      <c r="R80" s="172">
        <v>0.71</v>
      </c>
      <c r="S80">
        <f t="shared" si="24"/>
        <v>70.116601280775896</v>
      </c>
      <c r="T80">
        <f t="shared" si="21"/>
        <v>29.883398719224104</v>
      </c>
    </row>
    <row r="81" spans="1:20" ht="15.5" x14ac:dyDescent="0.35">
      <c r="A81" s="41" t="s">
        <v>48</v>
      </c>
      <c r="B81" s="148" t="s">
        <v>139</v>
      </c>
      <c r="C81" s="149" t="s">
        <v>95</v>
      </c>
      <c r="D81" s="148">
        <v>1610.4</v>
      </c>
      <c r="E81" s="148">
        <v>1611.2</v>
      </c>
      <c r="F81" s="148">
        <v>1582.4</v>
      </c>
      <c r="G81" s="148">
        <v>1583.2</v>
      </c>
      <c r="H81" s="148">
        <v>0.8</v>
      </c>
      <c r="I81" s="148">
        <v>2.5006300000000001</v>
      </c>
      <c r="J81">
        <v>33.435582822085856</v>
      </c>
      <c r="K81">
        <v>243.13050019683971</v>
      </c>
      <c r="L81" s="149" t="s">
        <v>53</v>
      </c>
      <c r="M81">
        <f>INDEX('Сведения о залежах и флюидах'!A:G,MATCH(РИГИС!C81,'Сведения о залежах и флюидах'!A:A,0),7)</f>
        <v>1621.7797259623846</v>
      </c>
      <c r="N81">
        <f t="shared" si="22"/>
        <v>38.5797259623846</v>
      </c>
      <c r="O81">
        <f t="shared" si="23"/>
        <v>0.29543098057893036</v>
      </c>
      <c r="P81" s="172">
        <f t="shared" si="19"/>
        <v>36.557074545846476</v>
      </c>
      <c r="Q81" s="172">
        <f t="shared" si="20"/>
        <v>7.641019177256779E-2</v>
      </c>
      <c r="R81" s="172">
        <v>0.71</v>
      </c>
      <c r="S81">
        <f t="shared" si="24"/>
        <v>44.778026988435442</v>
      </c>
      <c r="T81">
        <f t="shared" si="21"/>
        <v>55.221973011564558</v>
      </c>
    </row>
    <row r="82" spans="1:20" ht="15.5" x14ac:dyDescent="0.35">
      <c r="A82" s="41" t="s">
        <v>48</v>
      </c>
      <c r="B82" s="148" t="s">
        <v>139</v>
      </c>
      <c r="C82" s="149" t="s">
        <v>148</v>
      </c>
      <c r="D82" s="148">
        <v>1626.3</v>
      </c>
      <c r="E82" s="148">
        <v>1628.4</v>
      </c>
      <c r="F82" s="148">
        <v>1598.3</v>
      </c>
      <c r="G82" s="148">
        <v>1600.4</v>
      </c>
      <c r="H82" s="148">
        <v>2.1</v>
      </c>
      <c r="I82" s="148">
        <v>1.93669</v>
      </c>
      <c r="J82">
        <v>33.170552147239242</v>
      </c>
      <c r="K82">
        <v>215.19653164522742</v>
      </c>
      <c r="L82" s="149" t="s">
        <v>53</v>
      </c>
      <c r="M82">
        <f>INDEX('Сведения о залежах и флюидах'!A:G,MATCH(РИГИС!C82,'Сведения о залежах и флюидах'!A:A,0),7)</f>
        <v>1626.6292259013496</v>
      </c>
      <c r="N82">
        <f t="shared" si="22"/>
        <v>26.229225901349537</v>
      </c>
      <c r="O82">
        <f t="shared" si="23"/>
        <v>0.20085487220456694</v>
      </c>
      <c r="P82" s="172">
        <f t="shared" si="19"/>
        <v>37.683320808423105</v>
      </c>
      <c r="Q82" s="172">
        <f t="shared" si="20"/>
        <v>7.9385575366744537E-2</v>
      </c>
      <c r="R82" s="172">
        <v>0.71</v>
      </c>
      <c r="S82">
        <f t="shared" si="24"/>
        <v>50.951752362256123</v>
      </c>
      <c r="T82">
        <f t="shared" si="21"/>
        <v>49.048247637743877</v>
      </c>
    </row>
    <row r="83" spans="1:20" ht="15.5" x14ac:dyDescent="0.35">
      <c r="A83" s="41" t="s">
        <v>48</v>
      </c>
      <c r="B83" s="148" t="s">
        <v>139</v>
      </c>
      <c r="C83" s="149" t="s">
        <v>96</v>
      </c>
      <c r="D83" s="148">
        <v>1650.4</v>
      </c>
      <c r="E83" s="148">
        <v>1651.2</v>
      </c>
      <c r="F83" s="148">
        <v>1622.4</v>
      </c>
      <c r="G83" s="148">
        <v>1623.2</v>
      </c>
      <c r="H83" s="148">
        <v>0.8</v>
      </c>
      <c r="I83" s="148">
        <v>1.6825000000000001</v>
      </c>
      <c r="J83">
        <v>28.72392638036807</v>
      </c>
      <c r="K83">
        <v>27.767896344023391</v>
      </c>
      <c r="L83" s="149" t="s">
        <v>53</v>
      </c>
      <c r="M83">
        <f>INDEX('Сведения о залежах и флюидах'!A:G,MATCH(РИГИС!C83,'Сведения о залежах и флюидах'!A:A,0),7)</f>
        <v>1721.1316895323223</v>
      </c>
      <c r="N83">
        <f t="shared" si="22"/>
        <v>97.931689532322252</v>
      </c>
      <c r="O83">
        <f t="shared" si="23"/>
        <v>0.7499289937023973</v>
      </c>
      <c r="P83" s="172">
        <f t="shared" si="19"/>
        <v>56.579230324987549</v>
      </c>
      <c r="Q83" s="172">
        <f t="shared" si="20"/>
        <v>0.15069196044769373</v>
      </c>
      <c r="R83" s="172">
        <v>0.71</v>
      </c>
      <c r="S83">
        <f t="shared" si="24"/>
        <v>60.681338329620338</v>
      </c>
      <c r="T83">
        <f t="shared" si="21"/>
        <v>39.318661670379662</v>
      </c>
    </row>
    <row r="84" spans="1:20" ht="15.5" x14ac:dyDescent="0.35">
      <c r="A84" s="41" t="s">
        <v>48</v>
      </c>
      <c r="B84" s="148" t="s">
        <v>139</v>
      </c>
      <c r="C84" s="149" t="s">
        <v>96</v>
      </c>
      <c r="D84" s="148">
        <v>1655.7</v>
      </c>
      <c r="E84" s="148">
        <v>1657</v>
      </c>
      <c r="F84" s="148">
        <v>1627.7</v>
      </c>
      <c r="G84" s="148">
        <v>1629</v>
      </c>
      <c r="H84" s="148">
        <v>1.3</v>
      </c>
      <c r="I84" s="148">
        <v>1.9762599999999999</v>
      </c>
      <c r="J84">
        <v>30.538650306748451</v>
      </c>
      <c r="K84">
        <v>64.04339584900967</v>
      </c>
      <c r="L84" s="149" t="s">
        <v>53</v>
      </c>
      <c r="M84">
        <f>INDEX('Сведения о залежах и флюидах'!A:G,MATCH(РИГИС!C84,'Сведения о залежах и флюидах'!A:A,0),7)</f>
        <v>1721.1316895323223</v>
      </c>
      <c r="N84">
        <f t="shared" si="22"/>
        <v>92.131689532322298</v>
      </c>
      <c r="O84">
        <f t="shared" si="23"/>
        <v>0.70551448207449052</v>
      </c>
      <c r="P84" s="172">
        <f t="shared" si="19"/>
        <v>48.867571888177679</v>
      </c>
      <c r="Q84" s="172">
        <f t="shared" si="20"/>
        <v>0.11600923510793917</v>
      </c>
      <c r="R84" s="172">
        <v>0.71</v>
      </c>
      <c r="S84">
        <f t="shared" si="24"/>
        <v>52.596358435495659</v>
      </c>
      <c r="T84">
        <f t="shared" si="21"/>
        <v>47.403641564504341</v>
      </c>
    </row>
    <row r="85" spans="1:20" ht="15.5" x14ac:dyDescent="0.35">
      <c r="A85" s="41" t="s">
        <v>48</v>
      </c>
      <c r="B85" s="148" t="s">
        <v>139</v>
      </c>
      <c r="C85" s="149" t="s">
        <v>96</v>
      </c>
      <c r="D85" s="148">
        <v>1658.3</v>
      </c>
      <c r="E85" s="148">
        <v>1660.8</v>
      </c>
      <c r="F85" s="148">
        <v>1630.3</v>
      </c>
      <c r="G85" s="148">
        <v>1632.7</v>
      </c>
      <c r="H85" s="148">
        <v>2.5</v>
      </c>
      <c r="I85" s="148">
        <v>1.88574</v>
      </c>
      <c r="J85">
        <v>28.67546012269937</v>
      </c>
      <c r="K85">
        <v>27.155017446553341</v>
      </c>
      <c r="L85" s="149" t="s">
        <v>53</v>
      </c>
      <c r="M85">
        <f>INDEX('Сведения о залежах и флюидах'!A:G,MATCH(РИГИС!C85,'Сведения о залежах и флюидах'!A:A,0),7)</f>
        <v>1721.1316895323223</v>
      </c>
      <c r="N85">
        <f t="shared" si="22"/>
        <v>88.431689532322252</v>
      </c>
      <c r="O85">
        <f t="shared" si="23"/>
        <v>0.67718108672565291</v>
      </c>
      <c r="P85" s="172">
        <f t="shared" si="19"/>
        <v>56.785187396153148</v>
      </c>
      <c r="Q85" s="172">
        <f t="shared" si="20"/>
        <v>0.15174834334829518</v>
      </c>
      <c r="R85" s="172">
        <v>0.71</v>
      </c>
      <c r="S85">
        <f t="shared" si="24"/>
        <v>61.471963961156575</v>
      </c>
      <c r="T85">
        <f t="shared" si="21"/>
        <v>38.528036038843425</v>
      </c>
    </row>
    <row r="86" spans="1:20" ht="15.5" x14ac:dyDescent="0.35">
      <c r="A86" s="41" t="s">
        <v>48</v>
      </c>
      <c r="B86" s="148" t="s">
        <v>139</v>
      </c>
      <c r="C86" s="149" t="s">
        <v>96</v>
      </c>
      <c r="D86" s="148">
        <v>1660.8</v>
      </c>
      <c r="E86" s="148">
        <v>1662.6</v>
      </c>
      <c r="F86" s="148">
        <v>1632.7</v>
      </c>
      <c r="G86" s="148">
        <v>1634.5</v>
      </c>
      <c r="H86" s="148">
        <v>1.8</v>
      </c>
      <c r="I86" s="148">
        <v>1.93049</v>
      </c>
      <c r="J86">
        <v>28.315950920245371</v>
      </c>
      <c r="K86">
        <v>23.011816531482037</v>
      </c>
      <c r="L86" s="149" t="s">
        <v>53</v>
      </c>
      <c r="M86">
        <f>INDEX('Сведения о залежах и флюидах'!A:G,MATCH(РИГИС!C86,'Сведения о залежах и флюидах'!A:A,0),7)</f>
        <v>1721.1316895323223</v>
      </c>
      <c r="N86">
        <f t="shared" si="22"/>
        <v>86.631689532322298</v>
      </c>
      <c r="O86">
        <f t="shared" si="23"/>
        <v>0.66339727277216498</v>
      </c>
      <c r="P86" s="172">
        <f t="shared" si="19"/>
        <v>58.3129195949262</v>
      </c>
      <c r="Q86" s="172">
        <f t="shared" si="20"/>
        <v>0.15981899779002648</v>
      </c>
      <c r="R86" s="172">
        <v>0.71</v>
      </c>
      <c r="S86">
        <f t="shared" si="24"/>
        <v>63.261636933100554</v>
      </c>
      <c r="T86">
        <f t="shared" si="21"/>
        <v>36.738363066899446</v>
      </c>
    </row>
    <row r="87" spans="1:20" ht="15.5" x14ac:dyDescent="0.35">
      <c r="A87" s="41" t="s">
        <v>48</v>
      </c>
      <c r="B87" s="148" t="s">
        <v>139</v>
      </c>
      <c r="C87" s="149" t="s">
        <v>96</v>
      </c>
      <c r="D87" s="148">
        <v>1663.3</v>
      </c>
      <c r="E87" s="148">
        <v>1664.2</v>
      </c>
      <c r="F87" s="148">
        <v>1635.2</v>
      </c>
      <c r="G87" s="148">
        <v>1636.1</v>
      </c>
      <c r="H87" s="148">
        <v>0.9</v>
      </c>
      <c r="I87" s="148">
        <v>1.9176299999999999</v>
      </c>
      <c r="J87">
        <v>27.915337423312842</v>
      </c>
      <c r="K87">
        <v>19.135118867405797</v>
      </c>
      <c r="L87" s="149" t="s">
        <v>53</v>
      </c>
      <c r="M87">
        <f>INDEX('Сведения о залежах и флюидах'!A:G,MATCH(РИГИС!C87,'Сведения о залежах и флюидах'!A:A,0),7)</f>
        <v>1721.1316895323223</v>
      </c>
      <c r="N87">
        <f t="shared" si="22"/>
        <v>85.031689532322389</v>
      </c>
      <c r="O87">
        <f t="shared" si="23"/>
        <v>0.6511449937023982</v>
      </c>
      <c r="P87" s="172">
        <f t="shared" si="19"/>
        <v>60.015324246459997</v>
      </c>
      <c r="Q87" s="172">
        <f t="shared" si="20"/>
        <v>0.16931907258737158</v>
      </c>
      <c r="R87" s="172">
        <v>0.71</v>
      </c>
      <c r="S87">
        <f t="shared" si="24"/>
        <v>65.230766467009502</v>
      </c>
      <c r="T87">
        <f t="shared" si="21"/>
        <v>34.769233532990498</v>
      </c>
    </row>
    <row r="88" spans="1:20" ht="15.5" x14ac:dyDescent="0.35">
      <c r="A88" s="41" t="s">
        <v>48</v>
      </c>
      <c r="B88" s="148" t="s">
        <v>139</v>
      </c>
      <c r="C88" s="149" t="s">
        <v>96</v>
      </c>
      <c r="D88" s="148">
        <v>1664.2</v>
      </c>
      <c r="E88" s="148">
        <v>1665.3</v>
      </c>
      <c r="F88" s="148">
        <v>1636.1</v>
      </c>
      <c r="G88" s="148">
        <v>1637.2</v>
      </c>
      <c r="H88" s="148">
        <v>1.1000000000000001</v>
      </c>
      <c r="I88" s="148">
        <v>1.9375199999999999</v>
      </c>
      <c r="J88">
        <v>34.052147239263782</v>
      </c>
      <c r="K88">
        <v>322.95928128566709</v>
      </c>
      <c r="L88" s="149" t="s">
        <v>53</v>
      </c>
      <c r="M88">
        <f>INDEX('Сведения о залежах и флюидах'!A:G,MATCH(РИГИС!C88,'Сведения о залежах и флюидах'!A:A,0),7)</f>
        <v>1721.1316895323223</v>
      </c>
      <c r="N88">
        <f t="shared" si="22"/>
        <v>83.931689532322252</v>
      </c>
      <c r="O88">
        <f t="shared" si="23"/>
        <v>0.64272155184193214</v>
      </c>
      <c r="P88" s="172">
        <f t="shared" si="19"/>
        <v>33.936987754435371</v>
      </c>
      <c r="Q88" s="172">
        <f t="shared" si="20"/>
        <v>6.9912653120825688E-2</v>
      </c>
      <c r="R88" s="172">
        <v>0.71</v>
      </c>
      <c r="S88">
        <f t="shared" si="24"/>
        <v>36.718499399546502</v>
      </c>
      <c r="T88">
        <f t="shared" si="21"/>
        <v>63.281500600453498</v>
      </c>
    </row>
    <row r="89" spans="1:20" ht="15.5" x14ac:dyDescent="0.35">
      <c r="A89" s="41" t="s">
        <v>48</v>
      </c>
      <c r="B89" s="148" t="s">
        <v>139</v>
      </c>
      <c r="C89" s="149" t="s">
        <v>96</v>
      </c>
      <c r="D89" s="148">
        <v>1665.8</v>
      </c>
      <c r="E89" s="148">
        <v>1668</v>
      </c>
      <c r="F89" s="148">
        <v>1637.7</v>
      </c>
      <c r="G89" s="148">
        <v>1639.9</v>
      </c>
      <c r="H89" s="148">
        <v>2.2000000000000002</v>
      </c>
      <c r="I89" s="148">
        <v>1.7662899999999999</v>
      </c>
      <c r="J89">
        <v>29.818404907975438</v>
      </c>
      <c r="K89">
        <v>45.965352565351488</v>
      </c>
      <c r="L89" s="149" t="s">
        <v>53</v>
      </c>
      <c r="M89">
        <f>INDEX('Сведения о залежах и флюидах'!A:G,MATCH(РИГИС!C89,'Сведения о залежах и флюидах'!A:A,0),7)</f>
        <v>1721.1316895323223</v>
      </c>
      <c r="N89">
        <f t="shared" si="22"/>
        <v>81.231689532322207</v>
      </c>
      <c r="O89">
        <f t="shared" si="23"/>
        <v>0.62204583091169918</v>
      </c>
      <c r="P89" s="172">
        <f t="shared" si="19"/>
        <v>51.928250388791206</v>
      </c>
      <c r="Q89" s="172">
        <f t="shared" si="20"/>
        <v>0.12869991470475434</v>
      </c>
      <c r="R89" s="172">
        <v>0.71</v>
      </c>
      <c r="S89">
        <f t="shared" si="24"/>
        <v>56.641790628451986</v>
      </c>
      <c r="T89">
        <f t="shared" si="21"/>
        <v>43.358209371548014</v>
      </c>
    </row>
    <row r="90" spans="1:20" ht="15.5" x14ac:dyDescent="0.35">
      <c r="A90" s="41" t="s">
        <v>48</v>
      </c>
      <c r="B90" s="148" t="s">
        <v>139</v>
      </c>
      <c r="C90" s="149" t="s">
        <v>96</v>
      </c>
      <c r="D90" s="148">
        <v>1668</v>
      </c>
      <c r="E90" s="148">
        <v>1668.8</v>
      </c>
      <c r="F90" s="148">
        <v>1639.9</v>
      </c>
      <c r="G90" s="148">
        <v>1640.7</v>
      </c>
      <c r="H90" s="148">
        <v>0.8</v>
      </c>
      <c r="I90" s="148">
        <v>1.78627</v>
      </c>
      <c r="J90">
        <v>28.254601226993842</v>
      </c>
      <c r="K90">
        <v>22.370794976647637</v>
      </c>
      <c r="L90" s="149" t="s">
        <v>53</v>
      </c>
      <c r="M90">
        <f>INDEX('Сведения о залежах и флюидах'!A:G,MATCH(РИГИС!C90,'Сведения о залежах и флюидах'!A:A,0),7)</f>
        <v>1721.1316895323223</v>
      </c>
      <c r="N90">
        <f t="shared" si="22"/>
        <v>80.431689532322252</v>
      </c>
      <c r="O90">
        <f t="shared" si="23"/>
        <v>0.61591969137681579</v>
      </c>
      <c r="P90" s="172">
        <f t="shared" si="19"/>
        <v>58.573624748300418</v>
      </c>
      <c r="Q90" s="172">
        <f t="shared" si="20"/>
        <v>0.16123850093804637</v>
      </c>
      <c r="R90" s="172">
        <v>0.71</v>
      </c>
      <c r="S90">
        <f t="shared" si="24"/>
        <v>64.021714070998357</v>
      </c>
      <c r="T90">
        <f t="shared" si="21"/>
        <v>35.978285929001643</v>
      </c>
    </row>
    <row r="91" spans="1:20" ht="15.5" x14ac:dyDescent="0.35">
      <c r="A91" s="41" t="s">
        <v>48</v>
      </c>
      <c r="B91" s="148" t="s">
        <v>139</v>
      </c>
      <c r="C91" s="149" t="s">
        <v>96</v>
      </c>
      <c r="D91" s="148">
        <v>1672.4</v>
      </c>
      <c r="E91" s="148">
        <v>1673.2</v>
      </c>
      <c r="F91" s="148">
        <v>1644.3</v>
      </c>
      <c r="G91" s="148">
        <v>1645.1</v>
      </c>
      <c r="H91" s="148">
        <v>0.8</v>
      </c>
      <c r="I91" s="148">
        <v>1.6764399999999999</v>
      </c>
      <c r="J91">
        <v>30.803680981595065</v>
      </c>
      <c r="K91">
        <v>72.356662758599114</v>
      </c>
      <c r="L91" s="149" t="s">
        <v>53</v>
      </c>
      <c r="M91">
        <f>INDEX('Сведения о залежах и флюидах'!A:G,MATCH(РИГИС!C91,'Сведения о залежах и флюидах'!A:A,0),7)</f>
        <v>1721.1316895323223</v>
      </c>
      <c r="N91">
        <f t="shared" si="22"/>
        <v>76.031689532322389</v>
      </c>
      <c r="O91">
        <f t="shared" si="23"/>
        <v>0.58222592393495631</v>
      </c>
      <c r="P91" s="172">
        <f t="shared" si="19"/>
        <v>47.74132562560105</v>
      </c>
      <c r="Q91" s="172">
        <f t="shared" si="20"/>
        <v>0.11166119110474923</v>
      </c>
      <c r="R91" s="172">
        <v>0.71</v>
      </c>
      <c r="S91">
        <f t="shared" si="24"/>
        <v>52.392373209231963</v>
      </c>
      <c r="T91">
        <f t="shared" si="21"/>
        <v>47.607626790768037</v>
      </c>
    </row>
    <row r="92" spans="1:20" ht="15.5" x14ac:dyDescent="0.35">
      <c r="A92" s="41" t="s">
        <v>48</v>
      </c>
      <c r="B92" s="148" t="s">
        <v>139</v>
      </c>
      <c r="C92" s="149" t="s">
        <v>96</v>
      </c>
      <c r="D92" s="148">
        <v>1678.7</v>
      </c>
      <c r="E92" s="148">
        <v>1680.4</v>
      </c>
      <c r="F92" s="148">
        <v>1650.6</v>
      </c>
      <c r="G92" s="148">
        <v>1652.3</v>
      </c>
      <c r="H92" s="148">
        <v>1.7</v>
      </c>
      <c r="I92" s="148">
        <v>1.9138299999999999</v>
      </c>
      <c r="J92">
        <v>31.883435582822077</v>
      </c>
      <c r="K92">
        <v>118.96561875642433</v>
      </c>
      <c r="L92" s="149" t="s">
        <v>53</v>
      </c>
      <c r="M92">
        <f>INDEX('Сведения о залежах и флюидах'!A:G,MATCH(РИГИС!C92,'Сведения о залежах и флюидах'!A:A,0),7)</f>
        <v>1721.1316895323223</v>
      </c>
      <c r="N92">
        <f t="shared" si="22"/>
        <v>68.831689532322343</v>
      </c>
      <c r="O92">
        <f t="shared" si="23"/>
        <v>0.52709066812100247</v>
      </c>
      <c r="P92" s="172">
        <f t="shared" si="19"/>
        <v>43.152914926214464</v>
      </c>
      <c r="Q92" s="172">
        <f t="shared" si="20"/>
        <v>9.5567916091539015E-2</v>
      </c>
      <c r="R92" s="172">
        <v>0.71</v>
      </c>
      <c r="S92">
        <f t="shared" si="24"/>
        <v>47.859499669521256</v>
      </c>
      <c r="T92">
        <f t="shared" si="21"/>
        <v>52.140500330478744</v>
      </c>
    </row>
    <row r="93" spans="1:20" ht="15.5" x14ac:dyDescent="0.35">
      <c r="A93" s="41" t="s">
        <v>48</v>
      </c>
      <c r="B93" s="148" t="s">
        <v>139</v>
      </c>
      <c r="C93" s="149" t="s">
        <v>96</v>
      </c>
      <c r="D93" s="148">
        <v>1685.3</v>
      </c>
      <c r="E93" s="148">
        <v>1685.7</v>
      </c>
      <c r="F93" s="148">
        <v>1657.2</v>
      </c>
      <c r="G93" s="148">
        <v>1657.6</v>
      </c>
      <c r="H93" s="148">
        <v>0.4</v>
      </c>
      <c r="I93" s="148">
        <v>1.8415600000000001</v>
      </c>
      <c r="J93">
        <v>31.702453987730067</v>
      </c>
      <c r="K93">
        <v>109.45270178959848</v>
      </c>
      <c r="L93" s="149" t="s">
        <v>53</v>
      </c>
      <c r="M93">
        <f>INDEX('Сведения о залежах и флюидах'!A:G,MATCH(РИГИС!C93,'Сведения о залежах и флюидах'!A:A,0),7)</f>
        <v>1721.1316895323223</v>
      </c>
      <c r="N93">
        <f t="shared" si="22"/>
        <v>63.531689532322389</v>
      </c>
      <c r="O93">
        <f t="shared" si="23"/>
        <v>0.48650499370239814</v>
      </c>
      <c r="P93" s="172">
        <f t="shared" si="19"/>
        <v>43.921995128668392</v>
      </c>
      <c r="Q93" s="172">
        <f t="shared" si="20"/>
        <v>9.8093706606361755E-2</v>
      </c>
      <c r="R93" s="172">
        <v>0.71</v>
      </c>
      <c r="S93">
        <f t="shared" si="24"/>
        <v>49.243007306074389</v>
      </c>
      <c r="T93">
        <f t="shared" si="21"/>
        <v>50.756992693925611</v>
      </c>
    </row>
    <row r="94" spans="1:20" ht="15.5" x14ac:dyDescent="0.35">
      <c r="A94" s="41" t="s">
        <v>48</v>
      </c>
      <c r="B94" s="148" t="s">
        <v>139</v>
      </c>
      <c r="C94" s="149" t="s">
        <v>96</v>
      </c>
      <c r="D94" s="148">
        <v>1685.7</v>
      </c>
      <c r="E94" s="148">
        <v>1686.5</v>
      </c>
      <c r="F94" s="148">
        <v>1657.6</v>
      </c>
      <c r="G94" s="148">
        <v>1658.4</v>
      </c>
      <c r="H94" s="148">
        <v>0.8</v>
      </c>
      <c r="I94" s="148">
        <v>2.56351</v>
      </c>
      <c r="J94">
        <v>32.092024539877293</v>
      </c>
      <c r="K94">
        <v>130.95971385460976</v>
      </c>
      <c r="L94" s="149" t="s">
        <v>53</v>
      </c>
      <c r="M94">
        <f>INDEX('Сведения о залежах и флюидах'!A:G,MATCH(РИГИС!C94,'Сведения о залежах и флюидах'!A:A,0),7)</f>
        <v>1721.1316895323223</v>
      </c>
      <c r="N94">
        <f t="shared" si="22"/>
        <v>62.731689532322207</v>
      </c>
      <c r="O94">
        <f t="shared" si="23"/>
        <v>0.48037885416751308</v>
      </c>
      <c r="P94" s="172">
        <f t="shared" si="19"/>
        <v>42.266517404742068</v>
      </c>
      <c r="Q94" s="172">
        <f t="shared" si="20"/>
        <v>9.2737403021467671E-2</v>
      </c>
      <c r="R94" s="172">
        <v>0.71</v>
      </c>
      <c r="S94">
        <f t="shared" si="24"/>
        <v>47.448413670500692</v>
      </c>
      <c r="T94">
        <f t="shared" si="21"/>
        <v>52.551586329499308</v>
      </c>
    </row>
    <row r="95" spans="1:20" ht="15.5" x14ac:dyDescent="0.35">
      <c r="A95" s="41" t="s">
        <v>48</v>
      </c>
      <c r="B95" s="148" t="s">
        <v>139</v>
      </c>
      <c r="C95" s="149" t="s">
        <v>149</v>
      </c>
      <c r="D95" s="148">
        <v>1694.4</v>
      </c>
      <c r="E95" s="148">
        <v>1695.8</v>
      </c>
      <c r="F95" s="148">
        <v>1666.2</v>
      </c>
      <c r="G95" s="148">
        <v>1667.6</v>
      </c>
      <c r="H95" s="148">
        <v>1.4</v>
      </c>
      <c r="I95" s="148">
        <v>2.0239699999999998</v>
      </c>
      <c r="J95">
        <v>31.807975460122663</v>
      </c>
      <c r="K95">
        <v>114.90263836359098</v>
      </c>
      <c r="L95" s="149" t="s">
        <v>53</v>
      </c>
      <c r="M95">
        <f>INDEX('Сведения о залежах и флюидах'!A:G,MATCH(РИГИС!C95,'Сведения о залежах и флюидах'!A:A,0),7)</f>
        <v>1799.7531669140219</v>
      </c>
      <c r="N95">
        <f t="shared" si="22"/>
        <v>132.15316691402199</v>
      </c>
      <c r="O95">
        <f t="shared" si="23"/>
        <v>1.0119859256150969</v>
      </c>
      <c r="P95" s="172">
        <f t="shared" si="19"/>
        <v>43.473582264864888</v>
      </c>
      <c r="Q95" s="172">
        <f t="shared" si="20"/>
        <v>9.6613039440740817E-2</v>
      </c>
      <c r="R95" s="172">
        <v>0.71</v>
      </c>
      <c r="S95">
        <f t="shared" si="24"/>
        <v>45.468089448191257</v>
      </c>
      <c r="T95">
        <f t="shared" si="21"/>
        <v>54.531910551808743</v>
      </c>
    </row>
    <row r="96" spans="1:20" ht="15.5" x14ac:dyDescent="0.35">
      <c r="A96" s="41" t="s">
        <v>48</v>
      </c>
      <c r="B96" s="148" t="s">
        <v>139</v>
      </c>
      <c r="C96" s="149" t="s">
        <v>149</v>
      </c>
      <c r="D96" s="150">
        <v>1695.8</v>
      </c>
      <c r="E96" s="150">
        <v>1696.4</v>
      </c>
      <c r="F96" s="150">
        <v>1667.6</v>
      </c>
      <c r="G96" s="150">
        <v>1668.2</v>
      </c>
      <c r="H96" s="150">
        <v>0.6</v>
      </c>
      <c r="I96" s="148">
        <v>2.1201599999999998</v>
      </c>
      <c r="J96">
        <v>32.99386503067484</v>
      </c>
      <c r="K96">
        <v>198.3805774397479</v>
      </c>
      <c r="L96" s="151" t="s">
        <v>53</v>
      </c>
      <c r="M96">
        <f>INDEX('Сведения о залежах и флюидах'!A:G,MATCH(РИГИС!C96,'Сведения о залежах и флюидах'!A:A,0),7)</f>
        <v>1799.7531669140219</v>
      </c>
      <c r="N96">
        <f t="shared" si="22"/>
        <v>131.55316691402186</v>
      </c>
      <c r="O96">
        <f t="shared" si="23"/>
        <v>1.0073913209639334</v>
      </c>
      <c r="P96" s="172">
        <f t="shared" si="19"/>
        <v>38.434151650140826</v>
      </c>
      <c r="Q96" s="172">
        <f t="shared" si="20"/>
        <v>8.1433256320733879E-2</v>
      </c>
      <c r="R96" s="172">
        <v>0.71</v>
      </c>
      <c r="S96">
        <f t="shared" si="24"/>
        <v>40.165425322089789</v>
      </c>
      <c r="T96">
        <f t="shared" si="21"/>
        <v>59.834574677910211</v>
      </c>
    </row>
    <row r="97" spans="1:20" ht="15.5" x14ac:dyDescent="0.35">
      <c r="A97" s="41" t="s">
        <v>48</v>
      </c>
      <c r="B97" s="148" t="s">
        <v>139</v>
      </c>
      <c r="C97" s="149" t="s">
        <v>149</v>
      </c>
      <c r="D97" s="148">
        <v>1696.4</v>
      </c>
      <c r="E97" s="148">
        <v>1697</v>
      </c>
      <c r="F97" s="148">
        <v>1668.2</v>
      </c>
      <c r="G97" s="148">
        <v>1668.8</v>
      </c>
      <c r="H97" s="148">
        <v>0.6</v>
      </c>
      <c r="I97" s="148">
        <v>1.9267300000000001</v>
      </c>
      <c r="J97">
        <v>30.58895705521471</v>
      </c>
      <c r="K97">
        <v>65.544360398000094</v>
      </c>
      <c r="L97" s="152" t="s">
        <v>53</v>
      </c>
      <c r="M97">
        <f>INDEX('Сведения о залежах и флюидах'!A:G,MATCH(РИГИС!C97,'Сведения о залежах и флюидах'!A:A,0),7)</f>
        <v>1799.7531669140219</v>
      </c>
      <c r="N97">
        <f t="shared" si="22"/>
        <v>130.95316691402195</v>
      </c>
      <c r="O97">
        <f t="shared" si="23"/>
        <v>1.0027967163127711</v>
      </c>
      <c r="P97" s="172">
        <f t="shared" si="19"/>
        <v>48.653793662410799</v>
      </c>
      <c r="Q97" s="172">
        <f t="shared" si="20"/>
        <v>0.11517109004380499</v>
      </c>
      <c r="R97" s="172">
        <v>0.71</v>
      </c>
      <c r="S97">
        <f t="shared" si="24"/>
        <v>50.979822653183732</v>
      </c>
      <c r="T97">
        <f t="shared" si="21"/>
        <v>49.020177346816268</v>
      </c>
    </row>
    <row r="98" spans="1:20" ht="15.5" x14ac:dyDescent="0.35">
      <c r="A98" s="41" t="s">
        <v>48</v>
      </c>
      <c r="B98" s="148" t="s">
        <v>139</v>
      </c>
      <c r="C98" s="149" t="s">
        <v>149</v>
      </c>
      <c r="D98" s="148">
        <v>1697</v>
      </c>
      <c r="E98" s="148">
        <v>1697.8</v>
      </c>
      <c r="F98" s="148">
        <v>1668.8</v>
      </c>
      <c r="G98" s="148">
        <v>1669.6</v>
      </c>
      <c r="H98" s="148">
        <v>0.8</v>
      </c>
      <c r="I98" s="148">
        <v>1.9287099999999999</v>
      </c>
      <c r="J98">
        <v>30.331288343558267</v>
      </c>
      <c r="K98">
        <v>58.210789821270929</v>
      </c>
      <c r="L98" s="152" t="s">
        <v>53</v>
      </c>
      <c r="M98">
        <f>INDEX('Сведения о залежах и флюидах'!A:G,MATCH(РИГИС!C98,'Сведения о залежах и флюидах'!A:A,0),7)</f>
        <v>1799.7531669140219</v>
      </c>
      <c r="N98">
        <f t="shared" si="22"/>
        <v>130.15316691402199</v>
      </c>
      <c r="O98">
        <f t="shared" si="23"/>
        <v>0.99667057677788773</v>
      </c>
      <c r="P98" s="172">
        <f t="shared" si="19"/>
        <v>49.748755306582588</v>
      </c>
      <c r="Q98" s="172">
        <f t="shared" si="20"/>
        <v>0.11952890542748808</v>
      </c>
      <c r="R98" s="172">
        <v>0.71</v>
      </c>
      <c r="S98">
        <f t="shared" si="24"/>
        <v>52.161353229693425</v>
      </c>
      <c r="T98">
        <f t="shared" si="21"/>
        <v>47.838646770306575</v>
      </c>
    </row>
    <row r="99" spans="1:20" ht="15.5" x14ac:dyDescent="0.35">
      <c r="A99" s="41" t="s">
        <v>48</v>
      </c>
      <c r="B99" s="148" t="s">
        <v>139</v>
      </c>
      <c r="C99" s="149" t="s">
        <v>149</v>
      </c>
      <c r="D99" s="148">
        <v>1698.6</v>
      </c>
      <c r="E99" s="148">
        <v>1699.4</v>
      </c>
      <c r="F99" s="148">
        <v>1670.4</v>
      </c>
      <c r="G99" s="148">
        <v>1671.2</v>
      </c>
      <c r="H99" s="148">
        <v>0.8</v>
      </c>
      <c r="I99" s="148">
        <v>1.93032</v>
      </c>
      <c r="J99">
        <v>28.208588957055213</v>
      </c>
      <c r="K99">
        <v>21.901774527390895</v>
      </c>
      <c r="L99" s="152" t="s">
        <v>53</v>
      </c>
      <c r="M99">
        <f>INDEX('Сведения о залежах и флюидах'!A:G,MATCH(РИГИС!C99,'Сведения о залежах и флюидах'!A:A,0),7)</f>
        <v>1799.7531669140219</v>
      </c>
      <c r="N99">
        <f t="shared" si="22"/>
        <v>128.55316691402186</v>
      </c>
      <c r="O99">
        <f t="shared" si="23"/>
        <v>0.98441829770811917</v>
      </c>
      <c r="P99" s="172">
        <f t="shared" si="19"/>
        <v>58.769153613331</v>
      </c>
      <c r="Q99" s="172">
        <f t="shared" si="20"/>
        <v>0.16231139615604295</v>
      </c>
      <c r="R99" s="172">
        <v>0.71</v>
      </c>
      <c r="S99">
        <f t="shared" si="24"/>
        <v>61.786585304526319</v>
      </c>
      <c r="T99">
        <f t="shared" si="21"/>
        <v>38.213414695473681</v>
      </c>
    </row>
    <row r="100" spans="1:20" ht="15.5" x14ac:dyDescent="0.35">
      <c r="A100" s="41" t="s">
        <v>48</v>
      </c>
      <c r="B100" s="148" t="s">
        <v>139</v>
      </c>
      <c r="C100" s="149" t="s">
        <v>149</v>
      </c>
      <c r="D100" s="148">
        <v>1702</v>
      </c>
      <c r="E100" s="148">
        <v>1704</v>
      </c>
      <c r="F100" s="148">
        <v>1673.8</v>
      </c>
      <c r="G100" s="148">
        <v>1675.8</v>
      </c>
      <c r="H100" s="148">
        <v>2</v>
      </c>
      <c r="I100" s="148">
        <v>1.93344</v>
      </c>
      <c r="J100">
        <v>29.499386503067498</v>
      </c>
      <c r="K100">
        <v>39.68526388960322</v>
      </c>
      <c r="L100" s="152" t="s">
        <v>53</v>
      </c>
      <c r="M100">
        <f>INDEX('Сведения о залежах и флюидах'!A:G,MATCH(РИГИС!C100,'Сведения о залежах и флюидах'!A:A,0),7)</f>
        <v>1799.7531669140219</v>
      </c>
      <c r="N100">
        <f t="shared" si="22"/>
        <v>123.95316691402195</v>
      </c>
      <c r="O100">
        <f t="shared" si="23"/>
        <v>0.94919299538253843</v>
      </c>
      <c r="P100" s="172">
        <f t="shared" si="19"/>
        <v>53.283917186337064</v>
      </c>
      <c r="Q100" s="172">
        <f t="shared" si="20"/>
        <v>0.13475598820570664</v>
      </c>
      <c r="R100" s="172">
        <v>0.71</v>
      </c>
      <c r="S100">
        <f t="shared" si="24"/>
        <v>56.092244011760613</v>
      </c>
      <c r="T100">
        <f t="shared" si="21"/>
        <v>43.907755988239387</v>
      </c>
    </row>
    <row r="101" spans="1:20" ht="15.5" x14ac:dyDescent="0.35">
      <c r="A101" s="41" t="s">
        <v>48</v>
      </c>
      <c r="B101" s="148" t="s">
        <v>139</v>
      </c>
      <c r="C101" s="149" t="s">
        <v>149</v>
      </c>
      <c r="D101" s="148">
        <v>1704.6</v>
      </c>
      <c r="E101" s="148">
        <v>1705.8</v>
      </c>
      <c r="F101" s="148">
        <v>1676.4</v>
      </c>
      <c r="G101" s="148">
        <v>1677.6</v>
      </c>
      <c r="H101" s="148">
        <v>1.2</v>
      </c>
      <c r="I101" s="148">
        <v>1.8706199999999999</v>
      </c>
      <c r="J101">
        <v>28.149079754601221</v>
      </c>
      <c r="K101">
        <v>21.309727837817011</v>
      </c>
      <c r="L101" s="152" t="s">
        <v>53</v>
      </c>
      <c r="M101">
        <f>INDEX('Сведения о залежах и флюидах'!A:G,MATCH(РИГИС!C101,'Сведения о залежах и флюидах'!A:A,0),7)</f>
        <v>1799.7531669140219</v>
      </c>
      <c r="N101">
        <f t="shared" si="22"/>
        <v>122.15316691402199</v>
      </c>
      <c r="O101">
        <f t="shared" si="23"/>
        <v>0.9354091814290505</v>
      </c>
      <c r="P101" s="172">
        <f t="shared" si="19"/>
        <v>59.022037612104015</v>
      </c>
      <c r="Q101" s="172">
        <f t="shared" si="20"/>
        <v>0.16370960168754092</v>
      </c>
      <c r="R101" s="172">
        <v>0.71</v>
      </c>
      <c r="S101">
        <f t="shared" si="24"/>
        <v>62.262988615972823</v>
      </c>
      <c r="T101">
        <f t="shared" si="21"/>
        <v>37.737011384027177</v>
      </c>
    </row>
    <row r="102" spans="1:20" ht="15.5" x14ac:dyDescent="0.35">
      <c r="A102" s="41" t="s">
        <v>48</v>
      </c>
      <c r="B102" s="148" t="s">
        <v>139</v>
      </c>
      <c r="C102" s="149" t="s">
        <v>149</v>
      </c>
      <c r="D102" s="148">
        <v>1712.6</v>
      </c>
      <c r="E102" s="148">
        <v>1713.4</v>
      </c>
      <c r="F102" s="148">
        <v>1684.3</v>
      </c>
      <c r="G102" s="148">
        <v>1685.1</v>
      </c>
      <c r="H102" s="148">
        <v>0.8</v>
      </c>
      <c r="I102" s="148">
        <v>2.1933099999999999</v>
      </c>
      <c r="J102">
        <v>31.280368098159499</v>
      </c>
      <c r="K102">
        <v>90.118183298448713</v>
      </c>
      <c r="L102" s="152" t="s">
        <v>53</v>
      </c>
      <c r="M102">
        <f>INDEX('Сведения о залежах и флюидах'!A:G,MATCH(РИГИС!C102,'Сведения о залежах и флюидах'!A:A,0),7)</f>
        <v>1799.7531669140219</v>
      </c>
      <c r="N102">
        <f t="shared" si="22"/>
        <v>114.65316691402199</v>
      </c>
      <c r="O102">
        <f t="shared" si="23"/>
        <v>0.87797662328951565</v>
      </c>
      <c r="P102" s="172">
        <f t="shared" si="19"/>
        <v>45.715646583883178</v>
      </c>
      <c r="Q102" s="172">
        <f t="shared" si="20"/>
        <v>0.10424680309936417</v>
      </c>
      <c r="R102" s="172">
        <v>0.71</v>
      </c>
      <c r="S102">
        <f t="shared" si="24"/>
        <v>48.28716480758321</v>
      </c>
      <c r="T102">
        <f t="shared" si="21"/>
        <v>51.71283519241679</v>
      </c>
    </row>
    <row r="103" spans="1:20" ht="15.5" x14ac:dyDescent="0.35">
      <c r="A103" s="41" t="s">
        <v>48</v>
      </c>
      <c r="B103" s="148" t="s">
        <v>139</v>
      </c>
      <c r="C103" s="149" t="s">
        <v>149</v>
      </c>
      <c r="D103" s="148">
        <v>1713.4</v>
      </c>
      <c r="E103" s="148">
        <v>1714.4</v>
      </c>
      <c r="F103" s="148">
        <v>1685.1</v>
      </c>
      <c r="G103" s="148">
        <v>1686.1</v>
      </c>
      <c r="H103" s="148">
        <v>1</v>
      </c>
      <c r="I103" s="148">
        <v>2.5066999999999999</v>
      </c>
      <c r="J103">
        <v>30.297546012269947</v>
      </c>
      <c r="K103">
        <v>57.313281524166399</v>
      </c>
      <c r="L103" s="152" t="s">
        <v>53</v>
      </c>
      <c r="M103">
        <f>INDEX('Сведения о залежах и флюидах'!A:G,MATCH(РИГИС!C103,'Сведения о залежах и флюидах'!A:A,0),7)</f>
        <v>1799.7531669140219</v>
      </c>
      <c r="N103">
        <f t="shared" si="22"/>
        <v>113.65316691402199</v>
      </c>
      <c r="O103">
        <f t="shared" si="23"/>
        <v>0.87031894887091088</v>
      </c>
      <c r="P103" s="172">
        <f t="shared" si="19"/>
        <v>49.892143140938316</v>
      </c>
      <c r="Q103" s="172">
        <f t="shared" si="20"/>
        <v>0.12011165038418627</v>
      </c>
      <c r="R103" s="172">
        <v>0.71</v>
      </c>
      <c r="S103">
        <f t="shared" si="24"/>
        <v>52.793510271469621</v>
      </c>
      <c r="T103">
        <f t="shared" si="21"/>
        <v>47.206489728530379</v>
      </c>
    </row>
    <row r="104" spans="1:20" ht="15.5" x14ac:dyDescent="0.35">
      <c r="A104" s="41" t="s">
        <v>48</v>
      </c>
      <c r="B104" s="148" t="s">
        <v>139</v>
      </c>
      <c r="C104" s="149" t="s">
        <v>97</v>
      </c>
      <c r="D104" s="148">
        <v>1767.2</v>
      </c>
      <c r="E104" s="148">
        <v>1769.6</v>
      </c>
      <c r="F104" s="148">
        <v>1738.7</v>
      </c>
      <c r="G104" s="148">
        <v>1741.1</v>
      </c>
      <c r="H104" s="148">
        <v>2.4</v>
      </c>
      <c r="I104" s="148">
        <v>1.9997499999999999</v>
      </c>
      <c r="J104">
        <v>29.084662576687109</v>
      </c>
      <c r="K104">
        <v>32.785933412489172</v>
      </c>
      <c r="L104" s="152" t="s">
        <v>53</v>
      </c>
      <c r="M104">
        <f>INDEX('Сведения о залежах и флюидах'!A:G,MATCH(РИГИС!C104,'Сведения о залежах и флюидах'!A:A,0),7)</f>
        <v>1842.6702095767939</v>
      </c>
      <c r="N104">
        <f t="shared" si="22"/>
        <v>101.57020957679401</v>
      </c>
      <c r="O104">
        <f t="shared" si="23"/>
        <v>0.77779159556852873</v>
      </c>
      <c r="P104" s="172">
        <f t="shared" si="19"/>
        <v>55.046284023146981</v>
      </c>
      <c r="Q104" s="172">
        <f t="shared" si="20"/>
        <v>0.14305690717789696</v>
      </c>
      <c r="R104" s="172">
        <v>0.71</v>
      </c>
      <c r="S104">
        <f t="shared" si="24"/>
        <v>58.837602115699788</v>
      </c>
      <c r="T104">
        <f t="shared" si="21"/>
        <v>41.162397884300212</v>
      </c>
    </row>
    <row r="105" spans="1:20" ht="15.5" x14ac:dyDescent="0.35">
      <c r="A105" s="41" t="s">
        <v>48</v>
      </c>
      <c r="B105" s="148" t="s">
        <v>139</v>
      </c>
      <c r="C105" s="149" t="s">
        <v>97</v>
      </c>
      <c r="D105" s="148">
        <v>1771.7</v>
      </c>
      <c r="E105" s="148">
        <v>1773.2</v>
      </c>
      <c r="F105" s="148">
        <v>1743.2</v>
      </c>
      <c r="G105" s="148">
        <v>1744.7</v>
      </c>
      <c r="H105" s="148">
        <v>1.5</v>
      </c>
      <c r="I105" s="148">
        <v>1.92814</v>
      </c>
      <c r="J105">
        <v>28.560122699386493</v>
      </c>
      <c r="K105">
        <v>25.750368830747835</v>
      </c>
      <c r="L105" s="152" t="s">
        <v>53</v>
      </c>
      <c r="M105">
        <f>INDEX('Сведения о залежах и флюидах'!A:G,MATCH(РИГИС!C105,'Сведения о залежах и флюидах'!A:A,0),7)</f>
        <v>1842.6702095767939</v>
      </c>
      <c r="N105">
        <f t="shared" si="22"/>
        <v>97.970209576793877</v>
      </c>
      <c r="O105">
        <f t="shared" si="23"/>
        <v>0.75022396766155108</v>
      </c>
      <c r="P105" s="172">
        <f t="shared" si="19"/>
        <v>57.27531308449668</v>
      </c>
      <c r="Q105" s="172">
        <f t="shared" si="20"/>
        <v>0.15429214417693213</v>
      </c>
      <c r="R105" s="172">
        <v>0.71</v>
      </c>
      <c r="S105">
        <f t="shared" si="24"/>
        <v>61.43277328773852</v>
      </c>
      <c r="T105">
        <f t="shared" si="21"/>
        <v>38.56722671226148</v>
      </c>
    </row>
    <row r="106" spans="1:20" ht="15.5" x14ac:dyDescent="0.35">
      <c r="A106" s="41" t="s">
        <v>48</v>
      </c>
      <c r="B106" s="148" t="s">
        <v>139</v>
      </c>
      <c r="C106" s="149" t="s">
        <v>97</v>
      </c>
      <c r="D106" s="148">
        <v>1780.2</v>
      </c>
      <c r="E106" s="148">
        <v>1781.4</v>
      </c>
      <c r="F106" s="148">
        <v>1751.6</v>
      </c>
      <c r="G106" s="148">
        <v>1752.8</v>
      </c>
      <c r="H106" s="148">
        <v>1.2</v>
      </c>
      <c r="I106" s="148">
        <v>1.7965</v>
      </c>
      <c r="J106">
        <v>29.466257668711641</v>
      </c>
      <c r="K106">
        <v>39.084427105386794</v>
      </c>
      <c r="L106" s="152" t="s">
        <v>53</v>
      </c>
      <c r="M106">
        <f>INDEX('Сведения о залежах и флюидах'!A:G,MATCH(РИГИС!C106,'Сведения о залежах и флюидах'!A:A,0),7)</f>
        <v>1842.6702095767939</v>
      </c>
      <c r="N106">
        <f t="shared" si="22"/>
        <v>89.870209576793968</v>
      </c>
      <c r="O106">
        <f t="shared" si="23"/>
        <v>0.68819680487085411</v>
      </c>
      <c r="P106" s="172">
        <f t="shared" si="19"/>
        <v>53.424697969159276</v>
      </c>
      <c r="Q106" s="172">
        <f t="shared" si="20"/>
        <v>0.13540099680914175</v>
      </c>
      <c r="R106" s="172">
        <v>0.71</v>
      </c>
      <c r="S106">
        <f t="shared" si="24"/>
        <v>57.707869728168689</v>
      </c>
      <c r="T106">
        <f t="shared" si="21"/>
        <v>42.292130271831311</v>
      </c>
    </row>
    <row r="107" spans="1:20" ht="15.5" x14ac:dyDescent="0.35">
      <c r="A107" s="41" t="s">
        <v>48</v>
      </c>
      <c r="B107" s="148" t="s">
        <v>139</v>
      </c>
      <c r="C107" s="149" t="s">
        <v>97</v>
      </c>
      <c r="D107" s="148">
        <v>1781.4</v>
      </c>
      <c r="E107" s="148">
        <v>1782</v>
      </c>
      <c r="F107" s="148">
        <v>1752.8</v>
      </c>
      <c r="G107" s="148">
        <v>1753.4</v>
      </c>
      <c r="H107" s="148">
        <v>0.6</v>
      </c>
      <c r="I107" s="148">
        <v>2.0831300000000001</v>
      </c>
      <c r="J107">
        <v>28.397546012269924</v>
      </c>
      <c r="K107">
        <v>23.89292490694638</v>
      </c>
      <c r="L107" s="152" t="s">
        <v>53</v>
      </c>
      <c r="M107">
        <f>INDEX('Сведения о залежах и флюидах'!A:G,MATCH(РИГИС!C107,'Сведения о залежах и флюидах'!A:A,0),7)</f>
        <v>1842.6702095767939</v>
      </c>
      <c r="N107">
        <f t="shared" si="22"/>
        <v>89.270209576793832</v>
      </c>
      <c r="O107">
        <f t="shared" si="23"/>
        <v>0.6836022002196902</v>
      </c>
      <c r="P107" s="172">
        <f t="shared" si="19"/>
        <v>57.96618174093841</v>
      </c>
      <c r="Q107" s="172">
        <f t="shared" si="20"/>
        <v>0.15795040321999795</v>
      </c>
      <c r="R107" s="172">
        <v>0.71</v>
      </c>
      <c r="S107">
        <f t="shared" si="24"/>
        <v>62.703138813390176</v>
      </c>
      <c r="T107">
        <f t="shared" si="21"/>
        <v>37.296861186609824</v>
      </c>
    </row>
    <row r="108" spans="1:20" ht="15.5" x14ac:dyDescent="0.35">
      <c r="A108" s="41" t="s">
        <v>48</v>
      </c>
      <c r="B108" s="148" t="s">
        <v>139</v>
      </c>
      <c r="C108" s="149" t="s">
        <v>97</v>
      </c>
      <c r="D108" s="148">
        <v>1783.2</v>
      </c>
      <c r="E108" s="148">
        <v>1784</v>
      </c>
      <c r="F108" s="148">
        <v>1754.6</v>
      </c>
      <c r="G108" s="148">
        <v>1755.4</v>
      </c>
      <c r="H108" s="148">
        <v>0.8</v>
      </c>
      <c r="I108" s="148">
        <v>1.8966099999999999</v>
      </c>
      <c r="J108">
        <v>31.458282208588944</v>
      </c>
      <c r="K108">
        <v>97.812404513978706</v>
      </c>
      <c r="L108" s="152" t="s">
        <v>53</v>
      </c>
      <c r="M108">
        <f>INDEX('Сведения о залежах и флюидах'!A:G,MATCH(РИГИС!C108,'Сведения о залежах и флюидах'!A:A,0),7)</f>
        <v>1842.6702095767939</v>
      </c>
      <c r="N108">
        <f t="shared" si="22"/>
        <v>87.270209576793832</v>
      </c>
      <c r="O108">
        <f t="shared" si="23"/>
        <v>0.66828685138248078</v>
      </c>
      <c r="P108" s="172">
        <f t="shared" si="19"/>
        <v>44.959601639097912</v>
      </c>
      <c r="Q108" s="172">
        <f t="shared" si="20"/>
        <v>0.10160749248101709</v>
      </c>
      <c r="R108" s="172">
        <v>0.71</v>
      </c>
      <c r="S108">
        <f t="shared" si="24"/>
        <v>48.581641005234907</v>
      </c>
      <c r="T108">
        <f t="shared" si="21"/>
        <v>51.418358994765093</v>
      </c>
    </row>
    <row r="109" spans="1:20" ht="15.5" x14ac:dyDescent="0.35">
      <c r="A109" s="41" t="s">
        <v>48</v>
      </c>
      <c r="B109" s="148" t="s">
        <v>139</v>
      </c>
      <c r="C109" s="149" t="s">
        <v>97</v>
      </c>
      <c r="D109" s="148">
        <v>1784.6</v>
      </c>
      <c r="E109" s="148">
        <v>1785.6</v>
      </c>
      <c r="F109" s="148">
        <v>1756</v>
      </c>
      <c r="G109" s="148">
        <v>1757</v>
      </c>
      <c r="H109" s="148">
        <v>1</v>
      </c>
      <c r="I109" s="148">
        <v>1.84355</v>
      </c>
      <c r="J109">
        <v>30.809815950920232</v>
      </c>
      <c r="K109">
        <v>72.561370457707781</v>
      </c>
      <c r="L109" s="152" t="s">
        <v>53</v>
      </c>
      <c r="M109">
        <f>INDEX('Сведения о залежах и флюидах'!A:G,MATCH(РИГИС!C109,'Сведения о залежах и флюидах'!A:A,0),7)</f>
        <v>1842.6702095767939</v>
      </c>
      <c r="N109">
        <f t="shared" si="22"/>
        <v>85.670209576793923</v>
      </c>
      <c r="O109">
        <f t="shared" si="23"/>
        <v>0.65603457231271423</v>
      </c>
      <c r="P109" s="172">
        <f t="shared" si="19"/>
        <v>47.715255110263556</v>
      </c>
      <c r="Q109" s="172">
        <f t="shared" si="20"/>
        <v>0.11156249577086309</v>
      </c>
      <c r="R109" s="172">
        <v>0.71</v>
      </c>
      <c r="S109">
        <f t="shared" si="24"/>
        <v>51.698920781357231</v>
      </c>
      <c r="T109">
        <f t="shared" si="21"/>
        <v>48.301079218642769</v>
      </c>
    </row>
    <row r="110" spans="1:20" ht="15.5" x14ac:dyDescent="0.35">
      <c r="A110" s="41" t="s">
        <v>48</v>
      </c>
      <c r="B110" s="148" t="s">
        <v>139</v>
      </c>
      <c r="C110" s="149" t="s">
        <v>97</v>
      </c>
      <c r="D110" s="148">
        <v>1785.6</v>
      </c>
      <c r="E110" s="148">
        <v>1786.2</v>
      </c>
      <c r="F110" s="148">
        <v>1757</v>
      </c>
      <c r="G110" s="148">
        <v>1757.6</v>
      </c>
      <c r="H110" s="148">
        <v>0.6</v>
      </c>
      <c r="I110" s="148">
        <v>2.0876800000000002</v>
      </c>
      <c r="J110">
        <v>30.476073619631912</v>
      </c>
      <c r="K110">
        <v>62.22422225774104</v>
      </c>
      <c r="L110" s="152" t="s">
        <v>53</v>
      </c>
      <c r="M110">
        <f>INDEX('Сведения о залежах и флюидах'!A:G,MATCH(РИГИС!C110,'Сведения о залежах и флюидах'!A:A,0),7)</f>
        <v>1842.6702095767939</v>
      </c>
      <c r="N110">
        <f t="shared" si="22"/>
        <v>85.070209576794014</v>
      </c>
      <c r="O110">
        <f t="shared" si="23"/>
        <v>0.6514399676615521</v>
      </c>
      <c r="P110" s="172">
        <f t="shared" si="19"/>
        <v>49.133491144619292</v>
      </c>
      <c r="Q110" s="172">
        <f t="shared" si="20"/>
        <v>0.11706032328930845</v>
      </c>
      <c r="R110" s="172">
        <v>0.71</v>
      </c>
      <c r="S110">
        <f t="shared" si="24"/>
        <v>53.296428169757121</v>
      </c>
      <c r="T110">
        <f t="shared" si="21"/>
        <v>46.703571830242879</v>
      </c>
    </row>
    <row r="111" spans="1:20" ht="15.5" x14ac:dyDescent="0.35">
      <c r="A111" s="41" t="s">
        <v>48</v>
      </c>
      <c r="B111" s="148" t="s">
        <v>139</v>
      </c>
      <c r="C111" s="149" t="s">
        <v>97</v>
      </c>
      <c r="D111" s="148">
        <v>1786.2</v>
      </c>
      <c r="E111" s="148">
        <v>1787.2</v>
      </c>
      <c r="F111" s="148">
        <v>1757.6</v>
      </c>
      <c r="G111" s="148">
        <v>1758.6</v>
      </c>
      <c r="H111" s="148">
        <v>1</v>
      </c>
      <c r="I111" s="148">
        <v>1.9085000000000001</v>
      </c>
      <c r="J111">
        <v>30.128834355828214</v>
      </c>
      <c r="K111">
        <v>53.029091984296684</v>
      </c>
      <c r="L111" s="152" t="s">
        <v>53</v>
      </c>
      <c r="M111">
        <f>INDEX('Сведения о залежах и флюидах'!A:G,MATCH(РИГИС!C111,'Сведения о залежах и флюидах'!A:A,0),7)</f>
        <v>1842.6702095767939</v>
      </c>
      <c r="N111">
        <f t="shared" si="22"/>
        <v>84.070209576794014</v>
      </c>
      <c r="O111">
        <f t="shared" si="23"/>
        <v>0.64378229324294756</v>
      </c>
      <c r="P111" s="172">
        <f t="shared" si="19"/>
        <v>50.609082312717511</v>
      </c>
      <c r="Q111" s="172">
        <f t="shared" si="20"/>
        <v>0.12306826947104919</v>
      </c>
      <c r="R111" s="172">
        <v>0.71</v>
      </c>
      <c r="S111">
        <f t="shared" si="24"/>
        <v>54.986702745906243</v>
      </c>
      <c r="T111">
        <f t="shared" si="21"/>
        <v>45.013297254093757</v>
      </c>
    </row>
    <row r="112" spans="1:20" ht="15.5" hidden="1" x14ac:dyDescent="0.35">
      <c r="A112" s="41" t="s">
        <v>48</v>
      </c>
      <c r="B112" s="148" t="s">
        <v>139</v>
      </c>
      <c r="C112" s="149" t="s">
        <v>97</v>
      </c>
      <c r="D112" s="148">
        <v>1793.4</v>
      </c>
      <c r="E112" s="148">
        <v>1795</v>
      </c>
      <c r="F112" s="148">
        <v>1764.8</v>
      </c>
      <c r="G112" s="148">
        <v>1766.4</v>
      </c>
      <c r="H112" s="148">
        <v>1.6</v>
      </c>
      <c r="I112" s="148">
        <v>1.97268</v>
      </c>
      <c r="J112">
        <v>31.073619631901838</v>
      </c>
      <c r="K112">
        <v>81.93401989582631</v>
      </c>
      <c r="L112" s="152" t="s">
        <v>155</v>
      </c>
      <c r="M112">
        <f>INDEX('Сведения о залежах и флюидах'!A:G,MATCH(РИГИС!C112,'Сведения о залежах и флюидах'!A:A,0),7)</f>
        <v>1842.6702095767939</v>
      </c>
    </row>
    <row r="113" spans="1:20" ht="15.5" hidden="1" x14ac:dyDescent="0.35">
      <c r="A113" s="41" t="s">
        <v>48</v>
      </c>
      <c r="B113" s="148" t="s">
        <v>139</v>
      </c>
      <c r="C113" s="149" t="s">
        <v>97</v>
      </c>
      <c r="D113" s="148">
        <v>1795</v>
      </c>
      <c r="E113" s="148">
        <v>1795.6</v>
      </c>
      <c r="F113" s="148">
        <v>1766.4</v>
      </c>
      <c r="G113" s="148">
        <v>1767</v>
      </c>
      <c r="H113" s="148">
        <v>0.6</v>
      </c>
      <c r="I113" s="148">
        <v>2.0550099999999998</v>
      </c>
      <c r="J113">
        <v>27.274233128834339</v>
      </c>
      <c r="K113">
        <v>14.243445034325031</v>
      </c>
      <c r="L113" s="152" t="s">
        <v>155</v>
      </c>
      <c r="M113">
        <f>INDEX('Сведения о залежах и флюидах'!A:G,MATCH(РИГИС!C113,'Сведения о залежах и флюидах'!A:A,0),7)</f>
        <v>1842.6702095767939</v>
      </c>
    </row>
    <row r="114" spans="1:20" ht="15.5" hidden="1" x14ac:dyDescent="0.35">
      <c r="A114" s="41" t="s">
        <v>48</v>
      </c>
      <c r="B114" s="148" t="s">
        <v>139</v>
      </c>
      <c r="C114" s="149" t="s">
        <v>97</v>
      </c>
      <c r="D114" s="148">
        <v>1797.6</v>
      </c>
      <c r="E114" s="148">
        <v>1798.6</v>
      </c>
      <c r="F114" s="148">
        <v>1769</v>
      </c>
      <c r="G114" s="148">
        <v>1769.9</v>
      </c>
      <c r="H114" s="148">
        <v>1</v>
      </c>
      <c r="I114" s="148">
        <v>2.0116299999999998</v>
      </c>
      <c r="J114">
        <v>28.895705521472397</v>
      </c>
      <c r="K114">
        <v>30.053671706875253</v>
      </c>
      <c r="L114" s="152" t="s">
        <v>155</v>
      </c>
      <c r="M114">
        <f>INDEX('Сведения о залежах и флюидах'!A:G,MATCH(РИГИС!C114,'Сведения о залежах и флюидах'!A:A,0),7)</f>
        <v>1842.6702095767939</v>
      </c>
    </row>
    <row r="115" spans="1:20" ht="15.5" hidden="1" x14ac:dyDescent="0.35">
      <c r="A115" s="41" t="s">
        <v>48</v>
      </c>
      <c r="B115" s="148" t="s">
        <v>139</v>
      </c>
      <c r="C115" s="149" t="s">
        <v>97</v>
      </c>
      <c r="D115" s="148">
        <v>1799</v>
      </c>
      <c r="E115" s="148">
        <v>1800</v>
      </c>
      <c r="F115" s="148">
        <v>1770.3</v>
      </c>
      <c r="G115" s="148">
        <v>1771.3</v>
      </c>
      <c r="H115" s="148">
        <v>1</v>
      </c>
      <c r="I115" s="148">
        <v>2.0199600000000002</v>
      </c>
      <c r="J115">
        <v>30.926380368098151</v>
      </c>
      <c r="K115">
        <v>76.562745477686022</v>
      </c>
      <c r="L115" s="152" t="s">
        <v>155</v>
      </c>
      <c r="M115">
        <f>INDEX('Сведения о залежах и флюидах'!A:G,MATCH(РИГИС!C115,'Сведения о залежах и флюидах'!A:A,0),7)</f>
        <v>1842.6702095767939</v>
      </c>
    </row>
    <row r="116" spans="1:20" ht="15.5" x14ac:dyDescent="0.35">
      <c r="A116" s="41" t="s">
        <v>48</v>
      </c>
      <c r="B116" s="148" t="s">
        <v>139</v>
      </c>
      <c r="C116" s="149" t="s">
        <v>150</v>
      </c>
      <c r="D116" s="148">
        <v>1849.2</v>
      </c>
      <c r="E116" s="148">
        <v>1850.8</v>
      </c>
      <c r="F116" s="148">
        <v>1820.4</v>
      </c>
      <c r="G116" s="148">
        <v>1822</v>
      </c>
      <c r="H116" s="148">
        <v>1.6</v>
      </c>
      <c r="I116" s="148">
        <v>2.6777199999999999</v>
      </c>
      <c r="J116">
        <v>28.694478527607359</v>
      </c>
      <c r="K116">
        <v>27.393884893788581</v>
      </c>
      <c r="L116" s="152" t="s">
        <v>53</v>
      </c>
      <c r="M116">
        <f>INDEX('Сведения о залежах и флюидах'!A:G,MATCH(РИГИС!C116,'Сведения о залежах и флюидах'!A:A,0),7)</f>
        <v>1970.9497131668704</v>
      </c>
      <c r="N116">
        <f t="shared" ref="N116:N118" si="25">M116-G116</f>
        <v>148.94971316687042</v>
      </c>
      <c r="O116">
        <f t="shared" ref="O116:O118" si="26">(9.8*(1.006-0.726)*N116*72*1)/(1000*30*0.86)</f>
        <v>1.1406084081764443</v>
      </c>
      <c r="P116" s="172">
        <f t="shared" ref="P116:P118" si="27" xml:space="preserve"> -9.228* LN(K116) + 87.252</f>
        <v>56.704368798607071</v>
      </c>
      <c r="Q116" s="172">
        <f t="shared" ref="Q116:Q118" si="28">0.4265 *K116^(-0.313)</f>
        <v>0.15133293339131271</v>
      </c>
      <c r="R116" s="172">
        <v>0.71</v>
      </c>
      <c r="S116">
        <f t="shared" ref="S116:S118" si="29">(P116*O116^(1/R116)+100*Q116^(1/R116))/(O116^(1/R116)+Q116^(1/R116))</f>
        <v>59.083410616671152</v>
      </c>
      <c r="T116">
        <f t="shared" ref="T116:T118" si="30">100-S116</f>
        <v>40.916589383328848</v>
      </c>
    </row>
    <row r="117" spans="1:20" ht="15.5" x14ac:dyDescent="0.35">
      <c r="A117" s="41" t="s">
        <v>48</v>
      </c>
      <c r="B117" s="148" t="s">
        <v>139</v>
      </c>
      <c r="C117" s="149" t="s">
        <v>150</v>
      </c>
      <c r="D117" s="148">
        <v>1854.9</v>
      </c>
      <c r="E117" s="148">
        <v>1855.6</v>
      </c>
      <c r="F117" s="148">
        <v>1826.1</v>
      </c>
      <c r="G117" s="148">
        <v>1826.8</v>
      </c>
      <c r="H117" s="148">
        <v>0.7</v>
      </c>
      <c r="I117" s="148">
        <v>2.5800800000000002</v>
      </c>
      <c r="J117">
        <v>26.858895705521459</v>
      </c>
      <c r="K117">
        <v>11.763881174374312</v>
      </c>
      <c r="L117" s="152" t="s">
        <v>53</v>
      </c>
      <c r="M117">
        <f>INDEX('Сведения о залежах и флюидах'!A:G,MATCH(РИГИС!C117,'Сведения о залежах и флюидах'!A:A,0),7)</f>
        <v>1970.9497131668704</v>
      </c>
      <c r="N117">
        <f t="shared" si="25"/>
        <v>144.14971316687047</v>
      </c>
      <c r="O117">
        <f t="shared" si="26"/>
        <v>1.1038515709671421</v>
      </c>
      <c r="P117" s="172">
        <f t="shared" si="27"/>
        <v>64.504666987564178</v>
      </c>
      <c r="Q117" s="172">
        <f t="shared" si="28"/>
        <v>0.197168116885342</v>
      </c>
      <c r="R117" s="172">
        <v>0.71</v>
      </c>
      <c r="S117">
        <f t="shared" si="29"/>
        <v>67.387129610016416</v>
      </c>
      <c r="T117">
        <f t="shared" si="30"/>
        <v>32.612870389983584</v>
      </c>
    </row>
    <row r="118" spans="1:20" ht="15.5" x14ac:dyDescent="0.35">
      <c r="A118" s="41" t="s">
        <v>48</v>
      </c>
      <c r="B118" s="148" t="s">
        <v>139</v>
      </c>
      <c r="C118" s="149" t="s">
        <v>150</v>
      </c>
      <c r="D118" s="148">
        <v>1855.6</v>
      </c>
      <c r="E118" s="148">
        <v>1857</v>
      </c>
      <c r="F118" s="148">
        <v>1826.8</v>
      </c>
      <c r="G118" s="148">
        <v>1828.2</v>
      </c>
      <c r="H118" s="148">
        <v>1.4</v>
      </c>
      <c r="I118" s="148">
        <v>2.3758400000000002</v>
      </c>
      <c r="J118">
        <v>29.663803680981594</v>
      </c>
      <c r="K118">
        <v>42.806674751053357</v>
      </c>
      <c r="L118" s="152" t="s">
        <v>53</v>
      </c>
      <c r="M118">
        <f>INDEX('Сведения о залежах и флюидах'!A:G,MATCH(РИГИС!C118,'Сведения о залежах и флюидах'!A:A,0),7)</f>
        <v>1970.9497131668704</v>
      </c>
      <c r="N118">
        <f t="shared" si="25"/>
        <v>142.74971316687038</v>
      </c>
      <c r="O118">
        <f t="shared" si="26"/>
        <v>1.0931308267810951</v>
      </c>
      <c r="P118" s="172">
        <f t="shared" si="27"/>
        <v>52.585227375294181</v>
      </c>
      <c r="Q118" s="172">
        <f t="shared" si="28"/>
        <v>0.13160001483402142</v>
      </c>
      <c r="R118" s="172">
        <v>0.71</v>
      </c>
      <c r="S118">
        <f t="shared" si="29"/>
        <v>54.873357019599254</v>
      </c>
      <c r="T118">
        <f t="shared" si="30"/>
        <v>45.126642980400746</v>
      </c>
    </row>
    <row r="119" spans="1:20" ht="15.5" hidden="1" x14ac:dyDescent="0.35">
      <c r="A119" s="41" t="s">
        <v>48</v>
      </c>
      <c r="B119" s="148" t="s">
        <v>139</v>
      </c>
      <c r="C119" s="149" t="s">
        <v>154</v>
      </c>
      <c r="D119" s="148">
        <v>1958.4</v>
      </c>
      <c r="E119" s="148">
        <v>1959.4</v>
      </c>
      <c r="F119" s="148">
        <v>1929.6</v>
      </c>
      <c r="G119" s="148">
        <v>1930.6</v>
      </c>
      <c r="H119" s="148">
        <v>1</v>
      </c>
      <c r="I119" s="148">
        <v>2.2406000000000001</v>
      </c>
      <c r="J119">
        <v>25.404907975460116</v>
      </c>
      <c r="K119">
        <v>6.0223200182073926</v>
      </c>
      <c r="L119" s="152" t="s">
        <v>54</v>
      </c>
      <c r="M119" t="e">
        <f>INDEX('Сведения о залежах и флюидах'!A:G,MATCH(РИГИС!C119,'Сведения о залежах и флюидах'!A:A,0),7)</f>
        <v>#N/A</v>
      </c>
    </row>
    <row r="120" spans="1:20" ht="15.5" hidden="1" x14ac:dyDescent="0.35">
      <c r="A120" s="41" t="s">
        <v>48</v>
      </c>
      <c r="B120" s="148" t="s">
        <v>139</v>
      </c>
      <c r="C120" s="149" t="s">
        <v>154</v>
      </c>
      <c r="D120" s="148">
        <v>1960.1</v>
      </c>
      <c r="E120" s="148">
        <v>1961</v>
      </c>
      <c r="F120" s="148">
        <v>1931.3</v>
      </c>
      <c r="G120" s="148">
        <v>1932.2</v>
      </c>
      <c r="H120" s="148">
        <v>0.9</v>
      </c>
      <c r="I120" s="148">
        <v>2.2248700000000001</v>
      </c>
      <c r="J120">
        <v>27.529447852760729</v>
      </c>
      <c r="K120">
        <v>16.019763578904559</v>
      </c>
      <c r="L120" s="152" t="s">
        <v>54</v>
      </c>
      <c r="M120" t="e">
        <f>INDEX('Сведения о залежах и флюидах'!A:G,MATCH(РИГИС!C120,'Сведения о залежах и флюидах'!A:A,0),7)</f>
        <v>#N/A</v>
      </c>
    </row>
    <row r="121" spans="1:20" ht="15.5" hidden="1" x14ac:dyDescent="0.35">
      <c r="A121" s="41" t="s">
        <v>48</v>
      </c>
      <c r="B121" s="148" t="s">
        <v>139</v>
      </c>
      <c r="C121" s="149" t="s">
        <v>154</v>
      </c>
      <c r="D121" s="148">
        <v>1964.8</v>
      </c>
      <c r="E121" s="148">
        <v>1966</v>
      </c>
      <c r="F121" s="148">
        <v>1936</v>
      </c>
      <c r="G121" s="148">
        <v>1937.2</v>
      </c>
      <c r="H121" s="148">
        <v>1.2</v>
      </c>
      <c r="I121" s="148">
        <v>2.1212</v>
      </c>
      <c r="J121">
        <v>28.91901840490797</v>
      </c>
      <c r="K121">
        <v>30.378053486839757</v>
      </c>
      <c r="L121" s="152" t="s">
        <v>54</v>
      </c>
      <c r="M121" t="e">
        <f>INDEX('Сведения о залежах и флюидах'!A:G,MATCH(РИГИС!C121,'Сведения о залежах и флюидах'!A:A,0),7)</f>
        <v>#N/A</v>
      </c>
    </row>
    <row r="122" spans="1:20" ht="15.5" hidden="1" x14ac:dyDescent="0.35">
      <c r="A122" s="41" t="s">
        <v>48</v>
      </c>
      <c r="B122" s="148" t="s">
        <v>139</v>
      </c>
      <c r="C122" s="149" t="s">
        <v>154</v>
      </c>
      <c r="D122" s="148">
        <v>1966</v>
      </c>
      <c r="E122" s="148">
        <v>1967.4</v>
      </c>
      <c r="F122" s="148">
        <v>1937.2</v>
      </c>
      <c r="G122" s="148">
        <v>1938.6</v>
      </c>
      <c r="H122" s="148">
        <v>1.4</v>
      </c>
      <c r="I122" s="148">
        <v>2.1039300000000001</v>
      </c>
      <c r="J122">
        <v>28.809815950920235</v>
      </c>
      <c r="K122">
        <v>28.888185140534912</v>
      </c>
      <c r="L122" s="152" t="s">
        <v>54</v>
      </c>
      <c r="M122" t="e">
        <f>INDEX('Сведения о залежах и флюидах'!A:G,MATCH(РИГИС!C122,'Сведения о залежах и флюидах'!A:A,0),7)</f>
        <v>#N/A</v>
      </c>
    </row>
    <row r="123" spans="1:20" ht="15.5" hidden="1" x14ac:dyDescent="0.35">
      <c r="A123" s="41" t="s">
        <v>48</v>
      </c>
      <c r="B123" s="148" t="s">
        <v>139</v>
      </c>
      <c r="C123" s="149" t="s">
        <v>154</v>
      </c>
      <c r="D123" s="148">
        <v>1978</v>
      </c>
      <c r="E123" s="148">
        <v>1979.2</v>
      </c>
      <c r="F123" s="148">
        <v>1949.2</v>
      </c>
      <c r="G123" s="148">
        <v>1950.4</v>
      </c>
      <c r="H123" s="148">
        <v>1.2</v>
      </c>
      <c r="I123" s="148">
        <v>2.0237400000000001</v>
      </c>
      <c r="J123">
        <v>25.357055214723911</v>
      </c>
      <c r="K123">
        <v>5.8910625115275508</v>
      </c>
      <c r="L123" s="152" t="s">
        <v>54</v>
      </c>
      <c r="M123" t="e">
        <f>INDEX('Сведения о залежах и флюидах'!A:G,MATCH(РИГИС!C123,'Сведения о залежах и флюидах'!A:A,0),7)</f>
        <v>#N/A</v>
      </c>
    </row>
    <row r="124" spans="1:20" ht="15.5" hidden="1" x14ac:dyDescent="0.35">
      <c r="A124" s="41" t="s">
        <v>48</v>
      </c>
      <c r="B124" s="148" t="s">
        <v>139</v>
      </c>
      <c r="C124" s="149" t="s">
        <v>154</v>
      </c>
      <c r="D124" s="148">
        <v>1985.6</v>
      </c>
      <c r="E124" s="148">
        <v>1986.6</v>
      </c>
      <c r="F124" s="148">
        <v>1956.8</v>
      </c>
      <c r="G124" s="148">
        <v>1957.8</v>
      </c>
      <c r="H124" s="148">
        <v>1</v>
      </c>
      <c r="I124" s="148">
        <v>2.2862100000000001</v>
      </c>
      <c r="J124">
        <v>29.174846625766854</v>
      </c>
      <c r="K124">
        <v>34.176193959322227</v>
      </c>
      <c r="L124" s="152" t="s">
        <v>54</v>
      </c>
      <c r="M124" t="e">
        <f>INDEX('Сведения о залежах и флюидах'!A:G,MATCH(РИГИС!C124,'Сведения о залежах и флюидах'!A:A,0),7)</f>
        <v>#N/A</v>
      </c>
    </row>
    <row r="125" spans="1:20" ht="15.5" hidden="1" x14ac:dyDescent="0.35">
      <c r="A125" s="41" t="s">
        <v>48</v>
      </c>
      <c r="B125" s="148" t="s">
        <v>139</v>
      </c>
      <c r="C125" s="149" t="s">
        <v>154</v>
      </c>
      <c r="D125" s="148">
        <v>1986.6</v>
      </c>
      <c r="E125" s="148">
        <v>1987</v>
      </c>
      <c r="F125" s="148">
        <v>1957.8</v>
      </c>
      <c r="G125" s="148">
        <v>1958.2</v>
      </c>
      <c r="H125" s="148">
        <v>0.4</v>
      </c>
      <c r="I125" s="148">
        <v>2.07775</v>
      </c>
      <c r="J125">
        <v>25.988957055214733</v>
      </c>
      <c r="K125">
        <v>7.8807822668875094</v>
      </c>
      <c r="L125" s="152" t="s">
        <v>54</v>
      </c>
      <c r="M125" t="e">
        <f>INDEX('Сведения о залежах и флюидах'!A:G,MATCH(РИГИС!C125,'Сведения о залежах и флюидах'!A:A,0),7)</f>
        <v>#N/A</v>
      </c>
    </row>
    <row r="126" spans="1:20" ht="15.5" hidden="1" x14ac:dyDescent="0.35">
      <c r="A126" s="41" t="s">
        <v>48</v>
      </c>
      <c r="B126" s="148" t="s">
        <v>139</v>
      </c>
      <c r="C126" s="149" t="s">
        <v>154</v>
      </c>
      <c r="D126" s="148">
        <v>1987</v>
      </c>
      <c r="E126" s="148">
        <v>1987.6</v>
      </c>
      <c r="F126" s="148">
        <v>1958.2</v>
      </c>
      <c r="G126" s="148">
        <v>1958.8</v>
      </c>
      <c r="H126" s="148">
        <v>0.6</v>
      </c>
      <c r="I126" s="148">
        <v>2.1490300000000002</v>
      </c>
      <c r="J126">
        <v>27.337423312883423</v>
      </c>
      <c r="K126">
        <v>14.664005462477174</v>
      </c>
      <c r="L126" s="152" t="s">
        <v>54</v>
      </c>
      <c r="M126" t="e">
        <f>INDEX('Сведения о залежах и флюидах'!A:G,MATCH(РИГИС!C126,'Сведения о залежах и флюидах'!A:A,0),7)</f>
        <v>#N/A</v>
      </c>
    </row>
    <row r="127" spans="1:20" ht="15.5" hidden="1" x14ac:dyDescent="0.35">
      <c r="A127" s="41" t="s">
        <v>48</v>
      </c>
      <c r="B127" s="148" t="s">
        <v>139</v>
      </c>
      <c r="C127" s="149" t="s">
        <v>154</v>
      </c>
      <c r="D127" s="148">
        <v>1988.4</v>
      </c>
      <c r="E127" s="148">
        <v>1989.4</v>
      </c>
      <c r="F127" s="148">
        <v>1959.6</v>
      </c>
      <c r="G127" s="148">
        <v>1960.6</v>
      </c>
      <c r="H127" s="148">
        <v>1</v>
      </c>
      <c r="I127" s="148">
        <v>2.2573699999999999</v>
      </c>
      <c r="J127">
        <v>26.555214723926369</v>
      </c>
      <c r="K127">
        <v>10.228611349952269</v>
      </c>
      <c r="L127" s="152" t="s">
        <v>54</v>
      </c>
      <c r="M127" t="e">
        <f>INDEX('Сведения о залежах и флюидах'!A:G,MATCH(РИГИС!C127,'Сведения о залежах и флюидах'!A:A,0),7)</f>
        <v>#N/A</v>
      </c>
    </row>
    <row r="128" spans="1:20" ht="15.5" hidden="1" x14ac:dyDescent="0.35">
      <c r="A128" s="41" t="s">
        <v>48</v>
      </c>
      <c r="B128" s="148" t="s">
        <v>139</v>
      </c>
      <c r="C128" s="149" t="s">
        <v>154</v>
      </c>
      <c r="D128" s="148">
        <v>1995.1</v>
      </c>
      <c r="E128" s="148">
        <v>1995.9</v>
      </c>
      <c r="F128" s="148">
        <v>1966.3</v>
      </c>
      <c r="G128" s="148">
        <v>1967.1</v>
      </c>
      <c r="H128" s="148">
        <v>0.8</v>
      </c>
      <c r="I128" s="148">
        <v>1.9918899999999999</v>
      </c>
      <c r="J128">
        <v>30.012269938650299</v>
      </c>
      <c r="K128">
        <v>50.257648997577576</v>
      </c>
      <c r="L128" s="152" t="s">
        <v>54</v>
      </c>
      <c r="M128" t="e">
        <f>INDEX('Сведения о залежах и флюидах'!A:G,MATCH(РИГИС!C128,'Сведения о залежах и флюидах'!A:A,0),7)</f>
        <v>#N/A</v>
      </c>
    </row>
    <row r="129" spans="1:13" ht="15.5" hidden="1" x14ac:dyDescent="0.35">
      <c r="A129" s="41" t="s">
        <v>48</v>
      </c>
      <c r="B129" s="148" t="s">
        <v>139</v>
      </c>
      <c r="C129" s="149" t="s">
        <v>154</v>
      </c>
      <c r="D129" s="148">
        <v>2028.4</v>
      </c>
      <c r="E129" s="148">
        <v>2029.2</v>
      </c>
      <c r="F129" s="148">
        <v>1999.6</v>
      </c>
      <c r="G129" s="148">
        <v>2000.4</v>
      </c>
      <c r="H129" s="148">
        <v>0.8</v>
      </c>
      <c r="I129" s="148">
        <v>2.2678400000000001</v>
      </c>
      <c r="J129">
        <v>24.963190184049068</v>
      </c>
      <c r="K129">
        <v>4.9138685675868405</v>
      </c>
      <c r="L129" s="152" t="s">
        <v>54</v>
      </c>
      <c r="M129" t="e">
        <f>INDEX('Сведения о залежах и флюидах'!A:G,MATCH(РИГИС!C129,'Сведения о залежах и флюидах'!A:A,0),7)</f>
        <v>#N/A</v>
      </c>
    </row>
    <row r="130" spans="1:13" ht="15.5" hidden="1" x14ac:dyDescent="0.35">
      <c r="A130" s="41" t="s">
        <v>48</v>
      </c>
      <c r="B130" s="148" t="s">
        <v>139</v>
      </c>
      <c r="C130" s="149" t="s">
        <v>154</v>
      </c>
      <c r="D130" s="148">
        <v>2029.2</v>
      </c>
      <c r="E130" s="148">
        <v>2030.6</v>
      </c>
      <c r="F130" s="148">
        <v>2000.4</v>
      </c>
      <c r="G130" s="148">
        <v>2001.8</v>
      </c>
      <c r="H130" s="148">
        <v>1.4</v>
      </c>
      <c r="I130" s="148">
        <v>2.1992500000000001</v>
      </c>
      <c r="J130">
        <v>26.047239263803689</v>
      </c>
      <c r="K130">
        <v>8.0951581884975905</v>
      </c>
      <c r="L130" s="152" t="s">
        <v>54</v>
      </c>
      <c r="M130" t="e">
        <f>INDEX('Сведения о залежах и флюидах'!A:G,MATCH(РИГИС!C130,'Сведения о залежах и флюидах'!A:A,0),7)</f>
        <v>#N/A</v>
      </c>
    </row>
  </sheetData>
  <autoFilter ref="A4:V130" xr:uid="{00000000-0001-0000-0600-000000000000}">
    <filterColumn colId="11">
      <filters>
        <filter val="Нефть"/>
      </filters>
    </filterColumn>
  </autoFilter>
  <mergeCells count="14">
    <mergeCell ref="E1:E3"/>
    <mergeCell ref="A1:A3"/>
    <mergeCell ref="B1:B3"/>
    <mergeCell ref="C1:C3"/>
    <mergeCell ref="D1:D3"/>
    <mergeCell ref="U1:V2"/>
    <mergeCell ref="M1:T2"/>
    <mergeCell ref="L1:L3"/>
    <mergeCell ref="F1:F3"/>
    <mergeCell ref="G1:G3"/>
    <mergeCell ref="H1:H3"/>
    <mergeCell ref="I1:I3"/>
    <mergeCell ref="J1:J3"/>
    <mergeCell ref="K1:K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/>
  <dimension ref="A1:G13"/>
  <sheetViews>
    <sheetView workbookViewId="0">
      <selection activeCell="G2" sqref="G2"/>
    </sheetView>
  </sheetViews>
  <sheetFormatPr defaultRowHeight="14.5" x14ac:dyDescent="0.35"/>
  <cols>
    <col min="2" max="2" width="12.08984375" customWidth="1"/>
    <col min="3" max="3" width="9.453125" bestFit="1" customWidth="1"/>
    <col min="4" max="4" width="12.54296875" customWidth="1"/>
  </cols>
  <sheetData>
    <row r="1" spans="1:7" ht="39" x14ac:dyDescent="0.35">
      <c r="A1" s="44" t="s">
        <v>49</v>
      </c>
      <c r="B1" s="45" t="s">
        <v>0</v>
      </c>
      <c r="C1" s="45" t="s">
        <v>55</v>
      </c>
      <c r="D1" s="45" t="s">
        <v>60</v>
      </c>
      <c r="E1" s="50" t="s">
        <v>151</v>
      </c>
      <c r="F1" s="51" t="s">
        <v>57</v>
      </c>
      <c r="G1" s="50" t="s">
        <v>56</v>
      </c>
    </row>
    <row r="2" spans="1:7" x14ac:dyDescent="0.35">
      <c r="A2" s="147" t="s">
        <v>91</v>
      </c>
      <c r="B2" s="46" t="s">
        <v>48</v>
      </c>
      <c r="C2">
        <v>1</v>
      </c>
      <c r="D2" s="54">
        <v>1258</v>
      </c>
      <c r="E2" s="54">
        <v>13.7</v>
      </c>
      <c r="F2">
        <f xml:space="preserve"> 165.43*(E2)^ (-0.475)</f>
        <v>47.716875720842395</v>
      </c>
      <c r="G2">
        <f>F2+D2</f>
        <v>1305.7168757208424</v>
      </c>
    </row>
    <row r="3" spans="1:7" x14ac:dyDescent="0.35">
      <c r="A3" s="147" t="s">
        <v>92</v>
      </c>
      <c r="B3" s="46" t="s">
        <v>48</v>
      </c>
      <c r="C3">
        <v>1</v>
      </c>
      <c r="D3" s="54">
        <v>1301</v>
      </c>
      <c r="E3" s="54">
        <v>1.6</v>
      </c>
      <c r="F3">
        <f t="shared" ref="F3:F13" si="0" xml:space="preserve"> 165.43*(E3)^ (-0.475)</f>
        <v>132.32968478267233</v>
      </c>
      <c r="G3">
        <f t="shared" ref="G3:G13" si="1">F3+D3</f>
        <v>1433.3296847826723</v>
      </c>
    </row>
    <row r="4" spans="1:7" x14ac:dyDescent="0.35">
      <c r="A4" s="147" t="s">
        <v>94</v>
      </c>
      <c r="B4" s="46" t="s">
        <v>48</v>
      </c>
      <c r="C4">
        <v>1</v>
      </c>
      <c r="D4" s="54">
        <v>1352</v>
      </c>
      <c r="E4" s="54">
        <v>1.2</v>
      </c>
      <c r="F4">
        <f t="shared" si="0"/>
        <v>151.70614682456497</v>
      </c>
      <c r="G4">
        <f t="shared" si="1"/>
        <v>1503.7061468245649</v>
      </c>
    </row>
    <row r="5" spans="1:7" x14ac:dyDescent="0.35">
      <c r="A5" s="147" t="s">
        <v>145</v>
      </c>
      <c r="B5" s="46" t="s">
        <v>48</v>
      </c>
      <c r="C5">
        <v>1</v>
      </c>
      <c r="D5" s="54">
        <v>1414</v>
      </c>
      <c r="E5" s="54">
        <v>7.85</v>
      </c>
      <c r="F5">
        <f t="shared" si="0"/>
        <v>62.165750747101008</v>
      </c>
      <c r="G5">
        <f t="shared" si="1"/>
        <v>1476.1657507471009</v>
      </c>
    </row>
    <row r="6" spans="1:7" x14ac:dyDescent="0.35">
      <c r="A6" s="147" t="s">
        <v>146</v>
      </c>
      <c r="B6" s="46" t="s">
        <v>48</v>
      </c>
      <c r="C6">
        <v>1</v>
      </c>
      <c r="D6" s="54">
        <v>1468</v>
      </c>
      <c r="E6" s="54">
        <v>11.2</v>
      </c>
      <c r="F6">
        <f t="shared" si="0"/>
        <v>52.509237154762303</v>
      </c>
      <c r="G6">
        <f t="shared" si="1"/>
        <v>1520.5092371547623</v>
      </c>
    </row>
    <row r="7" spans="1:7" x14ac:dyDescent="0.35">
      <c r="A7" s="147" t="s">
        <v>147</v>
      </c>
      <c r="B7" s="46" t="s">
        <v>48</v>
      </c>
      <c r="C7">
        <v>1</v>
      </c>
      <c r="D7" s="54">
        <v>1495</v>
      </c>
      <c r="E7" s="54">
        <v>18.07</v>
      </c>
      <c r="F7">
        <f t="shared" si="0"/>
        <v>41.836866308692144</v>
      </c>
      <c r="G7">
        <f t="shared" si="1"/>
        <v>1536.8368663086922</v>
      </c>
    </row>
    <row r="8" spans="1:7" x14ac:dyDescent="0.35">
      <c r="A8" s="147" t="s">
        <v>95</v>
      </c>
      <c r="B8" s="46" t="s">
        <v>48</v>
      </c>
      <c r="C8">
        <v>1</v>
      </c>
      <c r="D8" s="54">
        <v>1583</v>
      </c>
      <c r="E8" s="54">
        <v>21.2</v>
      </c>
      <c r="F8">
        <f t="shared" si="0"/>
        <v>38.779725962384624</v>
      </c>
      <c r="G8">
        <f t="shared" si="1"/>
        <v>1621.7797259623846</v>
      </c>
    </row>
    <row r="9" spans="1:7" x14ac:dyDescent="0.35">
      <c r="A9" s="147" t="s">
        <v>148</v>
      </c>
      <c r="B9" s="46" t="s">
        <v>48</v>
      </c>
      <c r="C9">
        <v>1</v>
      </c>
      <c r="D9" s="54">
        <v>1601</v>
      </c>
      <c r="E9" s="54">
        <v>50.7</v>
      </c>
      <c r="F9">
        <f t="shared" si="0"/>
        <v>25.629225901349699</v>
      </c>
      <c r="G9">
        <f t="shared" si="1"/>
        <v>1626.6292259013496</v>
      </c>
    </row>
    <row r="10" spans="1:7" x14ac:dyDescent="0.35">
      <c r="A10" s="147" t="s">
        <v>96</v>
      </c>
      <c r="B10" s="46" t="s">
        <v>48</v>
      </c>
      <c r="C10">
        <v>1</v>
      </c>
      <c r="D10" s="54">
        <v>1641</v>
      </c>
      <c r="E10" s="54">
        <v>4.5999999999999996</v>
      </c>
      <c r="F10">
        <f t="shared" si="0"/>
        <v>80.13168953232227</v>
      </c>
      <c r="G10">
        <f t="shared" si="1"/>
        <v>1721.1316895323223</v>
      </c>
    </row>
    <row r="11" spans="1:7" x14ac:dyDescent="0.35">
      <c r="A11" s="147" t="s">
        <v>149</v>
      </c>
      <c r="B11" s="46" t="s">
        <v>48</v>
      </c>
      <c r="C11">
        <v>1</v>
      </c>
      <c r="D11" s="54">
        <v>1686</v>
      </c>
      <c r="E11" s="54">
        <v>2.2000000000000002</v>
      </c>
      <c r="F11">
        <f t="shared" si="0"/>
        <v>113.75316691402188</v>
      </c>
      <c r="G11">
        <f t="shared" si="1"/>
        <v>1799.7531669140219</v>
      </c>
    </row>
    <row r="12" spans="1:7" x14ac:dyDescent="0.35">
      <c r="A12" s="147" t="s">
        <v>97</v>
      </c>
      <c r="B12" s="46" t="s">
        <v>48</v>
      </c>
      <c r="C12">
        <v>1</v>
      </c>
      <c r="D12" s="54">
        <v>1759</v>
      </c>
      <c r="E12" s="54">
        <v>4.2</v>
      </c>
      <c r="F12">
        <f t="shared" si="0"/>
        <v>83.670209576793894</v>
      </c>
      <c r="G12">
        <f t="shared" si="1"/>
        <v>1842.6702095767939</v>
      </c>
    </row>
    <row r="13" spans="1:7" x14ac:dyDescent="0.35">
      <c r="A13" s="147" t="s">
        <v>150</v>
      </c>
      <c r="B13" s="46" t="s">
        <v>48</v>
      </c>
      <c r="C13">
        <v>1</v>
      </c>
      <c r="D13" s="54">
        <v>1828</v>
      </c>
      <c r="E13" s="54">
        <v>1.36</v>
      </c>
      <c r="F13">
        <f xml:space="preserve"> 165.43*(E13)^ (-0.475)</f>
        <v>142.94971316687037</v>
      </c>
      <c r="G13">
        <f t="shared" si="1"/>
        <v>1970.9497131668704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Лист1</vt:lpstr>
      <vt:lpstr>ККД</vt:lpstr>
      <vt:lpstr>Для аппроксимации</vt:lpstr>
      <vt:lpstr>ОФП</vt:lpstr>
      <vt:lpstr>РИГИС</vt:lpstr>
      <vt:lpstr>Сведения о залежах и флюидах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Latypova.R</dc:creator>
  <cp:lastModifiedBy>Фищук Артемий</cp:lastModifiedBy>
  <dcterms:created xsi:type="dcterms:W3CDTF">2022-07-22T12:24:42Z</dcterms:created>
  <dcterms:modified xsi:type="dcterms:W3CDTF">2025-05-15T07:00:28Z</dcterms:modified>
</cp:coreProperties>
</file>